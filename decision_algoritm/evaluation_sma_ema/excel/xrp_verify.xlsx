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Lis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38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2" fontId="0" fillId="0" borderId="0" pivotButton="0" quotePrefix="0" xfId="0"/>
    <xf numFmtId="0" fontId="1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J9" sqref="J9"/>
    </sheetView>
  </sheetViews>
  <sheetFormatPr baseColWidth="8" defaultRowHeight="14.4"/>
  <cols>
    <col width="16" customWidth="1" min="1" max="1"/>
    <col width="13.109375" customWidth="1" min="7" max="7"/>
    <col width="12" customWidth="1" min="9" max="9"/>
    <col width="11.44140625" customWidth="1" min="10" max="10"/>
    <col width="9.88671875" customWidth="1" min="11" max="11"/>
  </cols>
  <sheetData>
    <row r="1">
      <c r="A1" s="1" t="inlineStr">
        <is>
          <t>Datum (UTC)</t>
        </is>
      </c>
      <c r="B1" s="2" t="inlineStr">
        <is>
          <t>Symbol</t>
        </is>
      </c>
      <c r="C1" s="2" t="inlineStr">
        <is>
          <t>Směr</t>
        </is>
      </c>
      <c r="D1" s="2" t="inlineStr">
        <is>
          <t>Cena</t>
        </is>
      </c>
      <c r="E1" s="2" t="inlineStr">
        <is>
          <t>Qty</t>
        </is>
      </c>
      <c r="F1" s="2" t="inlineStr">
        <is>
          <t>Notional</t>
        </is>
      </c>
      <c r="G1" s="2" t="inlineStr">
        <is>
          <t>Fee (BNB)</t>
        </is>
      </c>
      <c r="H1" s="2" t="inlineStr">
        <is>
          <t xml:space="preserve">AvgCost </t>
        </is>
      </c>
      <c r="I1" s="2" t="inlineStr">
        <is>
          <t>QtyPo</t>
        </is>
      </c>
      <c r="J1" s="2" t="inlineStr">
        <is>
          <t>TradePnL</t>
        </is>
      </c>
      <c r="K1" s="3" t="inlineStr">
        <is>
          <t>KumPnL</t>
        </is>
      </c>
      <c r="L1" s="5" t="inlineStr">
        <is>
          <t>TotalCost_calc</t>
        </is>
      </c>
      <c r="M1" s="5" t="inlineStr">
        <is>
          <t>Qty_calc</t>
        </is>
      </c>
      <c r="N1" s="5" t="inlineStr">
        <is>
          <t>AvgCost_calc</t>
        </is>
      </c>
      <c r="O1" s="5" t="inlineStr">
        <is>
          <t>TradePnL_calc</t>
        </is>
      </c>
      <c r="P1" s="5" t="inlineStr">
        <is>
          <t>KumPnL_calc</t>
        </is>
      </c>
    </row>
    <row r="2"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/>
    <row r="4">
      <c r="A4" s="4" t="n">
        <v>46138.87305555555</v>
      </c>
      <c r="B4" t="inlineStr">
        <is>
          <t xml:space="preserve"> XRPUSDC</t>
        </is>
      </c>
      <c r="C4" t="inlineStr">
        <is>
          <t>BUY</t>
        </is>
      </c>
      <c r="D4" t="n">
        <v>1.4285</v>
      </c>
      <c r="E4" t="n">
        <v>6.1</v>
      </c>
      <c r="F4" t="n">
        <v>8.713900000000001</v>
      </c>
      <c r="G4" t="n">
        <v>9.77e-06</v>
      </c>
      <c r="H4" t="n">
        <v>1.4285</v>
      </c>
      <c r="I4" t="n">
        <v>6.1</v>
      </c>
      <c r="L4">
        <f>IF(C4="BUY",L2+F4,L2-N2*E4)</f>
        <v/>
      </c>
      <c r="M4">
        <f>IF(C4="BUY",M2+E4,M2-E4)</f>
        <v/>
      </c>
      <c r="N4">
        <f>IF(M4&gt;0,L4/M4,0)</f>
        <v/>
      </c>
      <c r="O4">
        <f>IF(C4="SELL",F4-N2*E4,0)</f>
        <v/>
      </c>
      <c r="P4">
        <f>P2+IF(C4="SELL",O4,0)</f>
        <v/>
      </c>
    </row>
    <row r="5">
      <c r="A5" s="4" t="n">
        <v>46146.85388888889</v>
      </c>
      <c r="B5" t="inlineStr">
        <is>
          <t>XRPUSDC</t>
        </is>
      </c>
      <c r="C5" t="inlineStr">
        <is>
          <t>SELL</t>
        </is>
      </c>
      <c r="D5" t="n">
        <v>1.3938</v>
      </c>
      <c r="E5" t="n">
        <v>4</v>
      </c>
      <c r="F5" t="n">
        <v>5.5752</v>
      </c>
      <c r="G5" t="n">
        <v>6.36e-06</v>
      </c>
      <c r="H5" t="n">
        <v>1.4285</v>
      </c>
      <c r="I5" t="n">
        <v>2.1</v>
      </c>
      <c r="J5" t="n">
        <v>-0.1388</v>
      </c>
      <c r="K5" t="n">
        <v>-0.1388</v>
      </c>
      <c r="L5">
        <f>IF(C5="BUY",L4+F5,L4-N4*E5)</f>
        <v/>
      </c>
      <c r="M5">
        <f>IF(C5="BUY",M4+E5,M4-E5)</f>
        <v/>
      </c>
      <c r="N5">
        <f>IF(M5&gt;0,L5/M5,0)</f>
        <v/>
      </c>
      <c r="O5">
        <f>IF(C5="SELL",F5-N4*E5,0)</f>
        <v/>
      </c>
      <c r="P5">
        <f>P4+IF(C5="SELL",O5,0)</f>
        <v/>
      </c>
    </row>
    <row r="6">
      <c r="A6" s="4" t="n">
        <v>46146.85388888889</v>
      </c>
      <c r="B6" t="inlineStr">
        <is>
          <t>XRPUSDC</t>
        </is>
      </c>
      <c r="C6" t="inlineStr">
        <is>
          <t>SELL</t>
        </is>
      </c>
      <c r="D6" t="n">
        <v>1.3938</v>
      </c>
      <c r="E6" t="n">
        <v>0.8</v>
      </c>
      <c r="F6" t="n">
        <v>1.115</v>
      </c>
      <c r="G6" t="n">
        <v>1.26e-06</v>
      </c>
      <c r="H6" t="n">
        <v>1.4285</v>
      </c>
      <c r="I6" t="inlineStr">
        <is>
          <t>1.300000</t>
        </is>
      </c>
      <c r="J6" t="n">
        <v>-0.0278</v>
      </c>
      <c r="K6" t="n">
        <v>-0.1666</v>
      </c>
      <c r="L6">
        <f>IF(C6="BUY",L5+F6,L5-N5*E6)</f>
        <v/>
      </c>
      <c r="M6">
        <f>IF(C6="BUY",M5+E6,M5-E6)</f>
        <v/>
      </c>
      <c r="N6">
        <f>IF(M6&gt;0,L6/M6,0)</f>
        <v/>
      </c>
      <c r="O6">
        <f>IF(C6="SELL",F6-N5*E6,0)</f>
        <v/>
      </c>
      <c r="P6">
        <f>P5+IF(C6="SELL",O6,0)</f>
        <v/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2026-05-10T09:51:54Z</dcterms:created>
  <dcterms:modified xsi:type="dcterms:W3CDTF">2026-05-11T07:37:42Z</dcterms:modified>
  <cp:lastModifiedBy>Jan Přikryl</cp:lastModifiedBy>
</cp:coreProperties>
</file>