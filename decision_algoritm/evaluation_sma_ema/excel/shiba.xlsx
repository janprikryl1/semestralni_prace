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.prikryl\Desktop\Semestralni projekt\decision_algoritm\evaluation_sma_ema\excel\"/>
    </mc:Choice>
  </mc:AlternateContent>
  <xr:revisionPtr revIDLastSave="0" documentId="13_ncr:1_{758D35D1-9794-4A02-A479-302EE433AE83}" xr6:coauthVersionLast="47" xr6:coauthVersionMax="47" xr10:uidLastSave="{00000000-0000-0000-0000-000000000000}"/>
  <bookViews>
    <workbookView xWindow="-28920" yWindow="-120" windowWidth="29040" windowHeight="15720" xr2:uid="{FF06A576-A5A7-470F-B2B2-886BE1CCD6AB}"/>
  </bookViews>
  <sheets>
    <sheet name="SHIB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N4" i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M4" i="1"/>
  <c r="K4" i="1"/>
  <c r="L4" i="1" s="1"/>
  <c r="J4" i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K5" i="1" l="1"/>
  <c r="K6" i="1" s="1"/>
  <c r="K7" i="1" s="1"/>
  <c r="L5" i="1"/>
  <c r="L6" i="1" l="1"/>
  <c r="L7" i="1"/>
  <c r="K8" i="1"/>
  <c r="L8" i="1" l="1"/>
  <c r="K9" i="1"/>
  <c r="L9" i="1" l="1"/>
  <c r="K10" i="1"/>
  <c r="L10" i="1" l="1"/>
  <c r="K11" i="1"/>
  <c r="L11" i="1" l="1"/>
  <c r="K12" i="1"/>
  <c r="K13" i="1" l="1"/>
  <c r="L12" i="1"/>
  <c r="K14" i="1" l="1"/>
  <c r="L13" i="1"/>
  <c r="K15" i="1" l="1"/>
  <c r="L14" i="1"/>
  <c r="L15" i="1" l="1"/>
  <c r="K16" i="1"/>
  <c r="L16" i="1" l="1"/>
  <c r="K17" i="1"/>
  <c r="K18" i="1" l="1"/>
  <c r="L17" i="1"/>
  <c r="K19" i="1" l="1"/>
  <c r="L18" i="1"/>
  <c r="K20" i="1" l="1"/>
  <c r="L19" i="1"/>
  <c r="K21" i="1" l="1"/>
  <c r="L20" i="1"/>
  <c r="K22" i="1" l="1"/>
  <c r="L21" i="1"/>
  <c r="K23" i="1" l="1"/>
  <c r="L22" i="1"/>
  <c r="M23" i="1" l="1"/>
  <c r="N23" i="1" s="1"/>
  <c r="J23" i="1"/>
  <c r="L23" i="1" s="1"/>
  <c r="M24" i="1" s="1"/>
  <c r="K24" i="1"/>
  <c r="K25" i="1" l="1"/>
  <c r="J24" i="1"/>
  <c r="N24" i="1"/>
  <c r="K26" i="1" l="1"/>
  <c r="L24" i="1"/>
  <c r="M25" i="1" s="1"/>
  <c r="N25" i="1" s="1"/>
  <c r="K27" i="1" l="1"/>
  <c r="J25" i="1"/>
  <c r="L25" i="1" l="1"/>
  <c r="M26" i="1" s="1"/>
  <c r="N26" i="1" s="1"/>
  <c r="N27" i="1" s="1"/>
  <c r="K28" i="1"/>
  <c r="J26" i="1" l="1"/>
  <c r="J27" i="1"/>
  <c r="L26" i="1"/>
  <c r="K29" i="1"/>
  <c r="L27" i="1" l="1"/>
  <c r="M28" i="1" s="1"/>
  <c r="N28" i="1" s="1"/>
  <c r="J28" i="1" l="1"/>
  <c r="L28" i="1"/>
  <c r="M29" i="1" s="1"/>
  <c r="N29" i="1" s="1"/>
  <c r="J29" i="1" l="1"/>
  <c r="L29" i="1" s="1"/>
</calcChain>
</file>

<file path=xl/sharedStrings.xml><?xml version="1.0" encoding="utf-8"?>
<sst xmlns="http://schemas.openxmlformats.org/spreadsheetml/2006/main" count="66" uniqueCount="17">
  <si>
    <t>Datum (UTC)</t>
  </si>
  <si>
    <t>Symbol</t>
  </si>
  <si>
    <t>Směr</t>
  </si>
  <si>
    <t>Cena</t>
  </si>
  <si>
    <t>Qty</t>
  </si>
  <si>
    <t>Notional</t>
  </si>
  <si>
    <t>Fee (BNB)</t>
  </si>
  <si>
    <t xml:space="preserve">AvgCost </t>
  </si>
  <si>
    <t>QtyPo</t>
  </si>
  <si>
    <t>SHIBUSDC</t>
  </si>
  <si>
    <t>BUY</t>
  </si>
  <si>
    <t>SELL</t>
  </si>
  <si>
    <t>TotalCost_calc</t>
  </si>
  <si>
    <t>Qty_calc</t>
  </si>
  <si>
    <t>AvgCost_calc</t>
  </si>
  <si>
    <t>TradePnL_calc</t>
  </si>
  <si>
    <t>KumPnL_calc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</si>
</sst>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1"/>
      <color rgb="FF000000"/>
      <name val="Aptos Narrow"/>
      <family val="2"/>
      <charset val="238"/>
      <scheme val="minor"/>
    </font>
    <font>
      <b/>
      <sz val="11"/>
      <name val="Aptos Narrow"/>
      <family val="2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22" fontId="0" fillId="0" borderId="1" xfId="0" applyNumberFormat="1" applyBorder="1"/>
    <xf numFmtId="22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1" fillId="0" borderId="1" xfId="0" applyFont="1" applyBorder="1"/>
    <xf numFmtId="0" fontId="1" fillId="0" borderId="0" xfId="0" applyFont="1" applyBorder="1"/>
    <xf numFmtId="0" fontId="3" fillId="0" borderId="6" xfId="0" applyFont="1" applyBorder="1"/>
    <xf numFmtId="0" fontId="3" fillId="0" borderId="7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0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BA54B-CF2E-4387-BAAA-C35F9E525E39}">
  <dimension ref="A1:N29"/>
  <sheetViews>
    <sheetView tabSelected="1" workbookViewId="0">
      <selection activeCell="T16" sqref="T16"/>
    </sheetView>
  </sheetViews>
  <sheetFormatPr defaultRowHeight="14.4" x14ac:dyDescent="0.3"/>
  <cols>
    <col min="1" max="1" width="18.6640625" customWidth="1"/>
    <col min="2" max="2" width="10.44140625" customWidth="1"/>
    <col min="7" max="7" width="12.88671875" customWidth="1"/>
    <col min="8" max="8" width="10.44140625" customWidth="1"/>
    <col min="10" max="10" width="15" customWidth="1"/>
    <col min="11" max="11" width="9.33203125" customWidth="1"/>
    <col min="12" max="13" width="13.88671875" customWidth="1"/>
    <col min="14" max="14" width="13.6640625" customWidth="1"/>
  </cols>
  <sheetData>
    <row r="1" spans="1:14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1" t="s">
        <v>12</v>
      </c>
      <c r="K1" s="11" t="s">
        <v>13</v>
      </c>
      <c r="L1" s="11" t="s">
        <v>14</v>
      </c>
      <c r="M1" s="11" t="s">
        <v>15</v>
      </c>
      <c r="N1" s="12" t="s">
        <v>16</v>
      </c>
    </row>
    <row r="2" spans="1:14" x14ac:dyDescent="0.3">
      <c r="A2" s="7"/>
      <c r="B2" s="8"/>
      <c r="C2" s="8"/>
      <c r="D2" s="8"/>
      <c r="E2" s="8"/>
      <c r="F2" s="8"/>
      <c r="G2" s="8"/>
      <c r="H2" s="8"/>
      <c r="I2" s="8"/>
      <c r="J2" s="13">
        <v>0</v>
      </c>
      <c r="K2" s="13">
        <v>0</v>
      </c>
      <c r="L2" s="13">
        <v>0</v>
      </c>
      <c r="M2" s="13">
        <v>0</v>
      </c>
      <c r="N2" s="2">
        <v>0</v>
      </c>
    </row>
    <row r="3" spans="1:14" x14ac:dyDescent="0.3">
      <c r="A3" s="1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2"/>
    </row>
    <row r="4" spans="1:14" x14ac:dyDescent="0.3">
      <c r="A4" s="3">
        <v>46138.878645833334</v>
      </c>
      <c r="B4" s="13" t="s">
        <v>9</v>
      </c>
      <c r="C4" s="13" t="s">
        <v>10</v>
      </c>
      <c r="D4" s="13">
        <v>6.0000000000000002E-6</v>
      </c>
      <c r="E4" s="13">
        <v>330879</v>
      </c>
      <c r="F4" s="13">
        <v>2.0581</v>
      </c>
      <c r="G4" s="13">
        <v>2.3499999999999999E-6</v>
      </c>
      <c r="H4" s="13">
        <v>6.0000000000000002E-6</v>
      </c>
      <c r="I4" s="13">
        <v>330879</v>
      </c>
      <c r="J4" s="13">
        <f>IF(C4="BUY",J2+F4,J2-L2*E4)</f>
        <v>2.0581</v>
      </c>
      <c r="K4" s="13">
        <f>IF(C4="BUY",K2+E4,K2-E4)</f>
        <v>330879</v>
      </c>
      <c r="L4" s="13">
        <f t="shared" ref="L4:L29" si="0">IF(K4&gt;0,J4/K4,0)</f>
        <v>6.2200985858878923E-6</v>
      </c>
      <c r="M4" s="13">
        <f>IF(C4="SELL",F4-L2*E4,0)</f>
        <v>0</v>
      </c>
      <c r="N4" s="2">
        <f>N2+IF(C4="SELL",M4,0)</f>
        <v>0</v>
      </c>
    </row>
    <row r="5" spans="1:14" x14ac:dyDescent="0.3">
      <c r="A5" s="3">
        <v>46139.949074074073</v>
      </c>
      <c r="B5" s="13" t="s">
        <v>9</v>
      </c>
      <c r="C5" s="13" t="s">
        <v>10</v>
      </c>
      <c r="D5" s="13">
        <v>6.0000000000000002E-6</v>
      </c>
      <c r="E5" s="13">
        <v>421237</v>
      </c>
      <c r="F5" s="13">
        <v>2.5779999999999998</v>
      </c>
      <c r="G5" s="13">
        <v>3.0000000000000001E-6</v>
      </c>
      <c r="H5" s="13">
        <v>6.0000000000000002E-6</v>
      </c>
      <c r="I5" s="13">
        <v>752116</v>
      </c>
      <c r="J5" s="13">
        <f>IF(C5="BUY",J4+F5,J4-L4*E5)</f>
        <v>4.6360999999999999</v>
      </c>
      <c r="K5" s="13">
        <f>IF(C5="BUY",K4+E5,K4-E5)</f>
        <v>752116</v>
      </c>
      <c r="L5" s="13">
        <f t="shared" si="0"/>
        <v>6.1640757542719475E-6</v>
      </c>
      <c r="M5" s="13">
        <f>IF(C5="SELL",F5-L4*E5,0)</f>
        <v>0</v>
      </c>
      <c r="N5" s="2">
        <f>N4+IF(C5="SELL",M5,0)</f>
        <v>0</v>
      </c>
    </row>
    <row r="6" spans="1:14" x14ac:dyDescent="0.3">
      <c r="A6" s="3">
        <v>46140.805601851855</v>
      </c>
      <c r="B6" s="13" t="s">
        <v>9</v>
      </c>
      <c r="C6" s="13" t="s">
        <v>10</v>
      </c>
      <c r="D6" s="13">
        <v>6.0000000000000002E-6</v>
      </c>
      <c r="E6" s="13">
        <v>230373</v>
      </c>
      <c r="F6" s="13">
        <v>1.4121999999999999</v>
      </c>
      <c r="G6" s="13">
        <v>1.6300000000000001E-6</v>
      </c>
      <c r="H6" s="13">
        <v>6.0000000000000002E-6</v>
      </c>
      <c r="I6" s="13">
        <v>982489</v>
      </c>
      <c r="J6" s="13">
        <f>IF(C6="BUY",J5+F6,J5-L5*E6)</f>
        <v>6.0482999999999993</v>
      </c>
      <c r="K6" s="13">
        <f>IF(C6="BUY",K5+E6,K5-E6)</f>
        <v>982489</v>
      </c>
      <c r="L6" s="13">
        <f t="shared" si="0"/>
        <v>6.1560994576020696E-6</v>
      </c>
      <c r="M6" s="13">
        <f>IF(C6="SELL",F6-L5*E6,0)</f>
        <v>0</v>
      </c>
      <c r="N6" s="2">
        <f>N5+IF(C6="SELL",M6,0)</f>
        <v>0</v>
      </c>
    </row>
    <row r="7" spans="1:14" x14ac:dyDescent="0.3">
      <c r="A7" s="3">
        <v>46140.81349537037</v>
      </c>
      <c r="B7" s="13" t="s">
        <v>9</v>
      </c>
      <c r="C7" s="13" t="s">
        <v>10</v>
      </c>
      <c r="D7" s="13">
        <v>6.0000000000000002E-6</v>
      </c>
      <c r="E7" s="13">
        <v>216533</v>
      </c>
      <c r="F7" s="13">
        <v>1.3272999999999999</v>
      </c>
      <c r="G7" s="13">
        <v>1.53E-6</v>
      </c>
      <c r="H7" s="13">
        <v>6.0000000000000002E-6</v>
      </c>
      <c r="I7" s="13">
        <v>1199022</v>
      </c>
      <c r="J7" s="13">
        <f>IF(C7="BUY",J6+F7,J6-L6*E7)</f>
        <v>7.3755999999999995</v>
      </c>
      <c r="K7" s="13">
        <f>IF(C7="BUY",K6+E7,K6-E7)</f>
        <v>1199022</v>
      </c>
      <c r="L7" s="13">
        <f t="shared" si="0"/>
        <v>6.1513466808782484E-6</v>
      </c>
      <c r="M7" s="13">
        <f>IF(C7="SELL",F7-L6*E7,0)</f>
        <v>0</v>
      </c>
      <c r="N7" s="2">
        <f>N6+IF(C7="SELL",M7,0)</f>
        <v>0</v>
      </c>
    </row>
    <row r="8" spans="1:14" x14ac:dyDescent="0.3">
      <c r="A8" s="3">
        <v>46140.823981481481</v>
      </c>
      <c r="B8" s="13" t="s">
        <v>9</v>
      </c>
      <c r="C8" s="13" t="s">
        <v>10</v>
      </c>
      <c r="D8" s="13">
        <v>6.0000000000000002E-6</v>
      </c>
      <c r="E8" s="13">
        <v>203209</v>
      </c>
      <c r="F8" s="13">
        <v>1.2497</v>
      </c>
      <c r="G8" s="13">
        <v>1.44E-6</v>
      </c>
      <c r="H8" s="13">
        <v>6.0000000000000002E-6</v>
      </c>
      <c r="I8" s="13">
        <v>1402231</v>
      </c>
      <c r="J8" s="13">
        <f>IF(C8="BUY",J7+F8,J7-L7*E8)</f>
        <v>8.6252999999999993</v>
      </c>
      <c r="K8" s="13">
        <f>IF(C8="BUY",K7+E8,K7-E8)</f>
        <v>1402231</v>
      </c>
      <c r="L8" s="13">
        <f t="shared" si="0"/>
        <v>6.1511263122837815E-6</v>
      </c>
      <c r="M8" s="13">
        <f>IF(C8="SELL",F8-L7*E8,0)</f>
        <v>0</v>
      </c>
      <c r="N8" s="2">
        <f>N7+IF(C8="SELL",M8,0)</f>
        <v>0</v>
      </c>
    </row>
    <row r="9" spans="1:14" x14ac:dyDescent="0.3">
      <c r="A9" s="3">
        <v>46140.834479166668</v>
      </c>
      <c r="B9" s="13" t="s">
        <v>9</v>
      </c>
      <c r="C9" s="13" t="s">
        <v>10</v>
      </c>
      <c r="D9" s="13">
        <v>6.0000000000000002E-6</v>
      </c>
      <c r="E9" s="13">
        <v>190991</v>
      </c>
      <c r="F9" s="13">
        <v>1.1746000000000001</v>
      </c>
      <c r="G9" s="13">
        <v>1.35E-6</v>
      </c>
      <c r="H9" s="13">
        <v>6.0000000000000002E-6</v>
      </c>
      <c r="I9" s="13">
        <v>1593222</v>
      </c>
      <c r="J9" s="13">
        <f>IF(C9="BUY",J8+F9,J8-L8*E9)</f>
        <v>9.7998999999999992</v>
      </c>
      <c r="K9" s="13">
        <f>IF(C9="BUY",K8+E9,K8-E9)</f>
        <v>1593222</v>
      </c>
      <c r="L9" s="13">
        <f t="shared" si="0"/>
        <v>6.1509946510906827E-6</v>
      </c>
      <c r="M9" s="13">
        <f>IF(C9="SELL",F9-L8*E9,0)</f>
        <v>0</v>
      </c>
      <c r="N9" s="2">
        <f>N8+IF(C9="SELL",M9,0)</f>
        <v>0</v>
      </c>
    </row>
    <row r="10" spans="1:14" x14ac:dyDescent="0.3">
      <c r="A10" s="3">
        <v>46140.844953703701</v>
      </c>
      <c r="B10" s="13" t="s">
        <v>9</v>
      </c>
      <c r="C10" s="13" t="s">
        <v>10</v>
      </c>
      <c r="D10" s="13">
        <v>6.0000000000000002E-6</v>
      </c>
      <c r="E10" s="13">
        <v>179230</v>
      </c>
      <c r="F10" s="13">
        <v>1.1023000000000001</v>
      </c>
      <c r="G10" s="13">
        <v>1.2699999999999999E-6</v>
      </c>
      <c r="H10" s="13">
        <v>6.0000000000000002E-6</v>
      </c>
      <c r="I10" s="13">
        <v>1772452</v>
      </c>
      <c r="J10" s="13">
        <f>IF(C10="BUY",J9+F10,J9-L9*E10)</f>
        <v>10.902199999999999</v>
      </c>
      <c r="K10" s="13">
        <f>IF(C10="BUY",K9+E10,K9-E10)</f>
        <v>1772452</v>
      </c>
      <c r="L10" s="13">
        <f t="shared" si="0"/>
        <v>6.1509141009178235E-6</v>
      </c>
      <c r="M10" s="13">
        <f>IF(C10="SELL",F10-L9*E10,0)</f>
        <v>0</v>
      </c>
      <c r="N10" s="2">
        <f>N9+IF(C10="SELL",M10,0)</f>
        <v>0</v>
      </c>
    </row>
    <row r="11" spans="1:14" x14ac:dyDescent="0.3">
      <c r="A11" s="3">
        <v>46140.855439814812</v>
      </c>
      <c r="B11" s="13" t="s">
        <v>9</v>
      </c>
      <c r="C11" s="13" t="s">
        <v>10</v>
      </c>
      <c r="D11" s="13">
        <v>6.0000000000000002E-6</v>
      </c>
      <c r="E11" s="13">
        <v>163955</v>
      </c>
      <c r="F11" s="13">
        <v>1.0066999999999999</v>
      </c>
      <c r="G11" s="13">
        <v>1.1599999999999999E-6</v>
      </c>
      <c r="H11" s="13">
        <v>6.0000000000000002E-6</v>
      </c>
      <c r="I11" s="13">
        <v>1936407</v>
      </c>
      <c r="J11" s="13">
        <f>IF(C11="BUY",J10+F11,J10-L10*E11)</f>
        <v>11.908899999999999</v>
      </c>
      <c r="K11" s="13">
        <f>IF(C11="BUY",K10+E11,K10-E11)</f>
        <v>1936407</v>
      </c>
      <c r="L11" s="13">
        <f t="shared" si="0"/>
        <v>6.1499984249179014E-6</v>
      </c>
      <c r="M11" s="13">
        <f>IF(C11="SELL",F11-L10*E11,0)</f>
        <v>0</v>
      </c>
      <c r="N11" s="2">
        <f>N10+IF(C11="SELL",M11,0)</f>
        <v>0</v>
      </c>
    </row>
    <row r="12" spans="1:14" x14ac:dyDescent="0.3">
      <c r="A12" s="3">
        <v>46141.012326388889</v>
      </c>
      <c r="B12" s="13" t="s">
        <v>9</v>
      </c>
      <c r="C12" s="13" t="s">
        <v>10</v>
      </c>
      <c r="D12" s="13">
        <v>6.0000000000000002E-6</v>
      </c>
      <c r="E12" s="13">
        <v>318058</v>
      </c>
      <c r="F12" s="13">
        <v>1.9529000000000001</v>
      </c>
      <c r="G12" s="13">
        <v>2.26E-6</v>
      </c>
      <c r="H12" s="13">
        <v>6.0000000000000002E-6</v>
      </c>
      <c r="I12" s="13">
        <v>2254465</v>
      </c>
      <c r="J12" s="13">
        <f>IF(C12="BUY",J11+F12,J11-L11*E12)</f>
        <v>13.861799999999999</v>
      </c>
      <c r="K12" s="13">
        <f>IF(C12="BUY",K11+E12,K11-E12)</f>
        <v>2254465</v>
      </c>
      <c r="L12" s="13">
        <f t="shared" si="0"/>
        <v>6.1485984479688082E-6</v>
      </c>
      <c r="M12" s="13">
        <f>IF(C12="SELL",F12-L11*E12,0)</f>
        <v>0</v>
      </c>
      <c r="N12" s="2">
        <f>N11+IF(C12="SELL",M12,0)</f>
        <v>0</v>
      </c>
    </row>
    <row r="13" spans="1:14" x14ac:dyDescent="0.3">
      <c r="A13" s="3">
        <v>46141.022800925923</v>
      </c>
      <c r="B13" s="13" t="s">
        <v>9</v>
      </c>
      <c r="C13" s="13" t="s">
        <v>10</v>
      </c>
      <c r="D13" s="13">
        <v>6.0000000000000002E-6</v>
      </c>
      <c r="E13" s="13">
        <v>298456</v>
      </c>
      <c r="F13" s="13">
        <v>1.8325</v>
      </c>
      <c r="G13" s="13">
        <v>2.12E-6</v>
      </c>
      <c r="H13" s="13">
        <v>6.0000000000000002E-6</v>
      </c>
      <c r="I13" s="13">
        <v>2552921</v>
      </c>
      <c r="J13" s="13">
        <f>IF(C13="BUY",J12+F13,J12-L12*E13)</f>
        <v>15.694299999999998</v>
      </c>
      <c r="K13" s="13">
        <f>IF(C13="BUY",K12+E13,K12-E13)</f>
        <v>2552921</v>
      </c>
      <c r="L13" s="13">
        <f t="shared" si="0"/>
        <v>6.1475854521154391E-6</v>
      </c>
      <c r="M13" s="13">
        <f>IF(C13="SELL",F13-L12*E13,0)</f>
        <v>0</v>
      </c>
      <c r="N13" s="2">
        <f>N12+IF(C13="SELL",M13,0)</f>
        <v>0</v>
      </c>
    </row>
    <row r="14" spans="1:14" x14ac:dyDescent="0.3">
      <c r="A14" s="3">
        <v>46141.033275462964</v>
      </c>
      <c r="B14" s="13" t="s">
        <v>9</v>
      </c>
      <c r="C14" s="13" t="s">
        <v>10</v>
      </c>
      <c r="D14" s="13">
        <v>6.0000000000000002E-6</v>
      </c>
      <c r="E14" s="13">
        <v>262642</v>
      </c>
      <c r="F14" s="13">
        <v>1.6152</v>
      </c>
      <c r="G14" s="13">
        <v>1.86E-6</v>
      </c>
      <c r="H14" s="13">
        <v>6.0000000000000002E-6</v>
      </c>
      <c r="I14" s="13">
        <v>2815563</v>
      </c>
      <c r="J14" s="13">
        <f>IF(C14="BUY",J13+F14,J13-L13*E14)</f>
        <v>17.3095</v>
      </c>
      <c r="K14" s="13">
        <f>IF(C14="BUY",K13+E14,K13-E14)</f>
        <v>2815563</v>
      </c>
      <c r="L14" s="13">
        <f t="shared" si="0"/>
        <v>6.1477935318797693E-6</v>
      </c>
      <c r="M14" s="13">
        <f>IF(C14="SELL",F14-L13*E14,0)</f>
        <v>0</v>
      </c>
      <c r="N14" s="2">
        <f>N13+IF(C14="SELL",M14,0)</f>
        <v>0</v>
      </c>
    </row>
    <row r="15" spans="1:14" x14ac:dyDescent="0.3">
      <c r="A15" s="3">
        <v>46141.043749999997</v>
      </c>
      <c r="B15" s="13" t="s">
        <v>9</v>
      </c>
      <c r="C15" s="13" t="s">
        <v>10</v>
      </c>
      <c r="D15" s="13">
        <v>6.0000000000000002E-6</v>
      </c>
      <c r="E15" s="13">
        <v>230683</v>
      </c>
      <c r="F15" s="13">
        <v>1.4187000000000001</v>
      </c>
      <c r="G15" s="13">
        <v>1.64E-6</v>
      </c>
      <c r="H15" s="13">
        <v>6.0000000000000002E-6</v>
      </c>
      <c r="I15" s="13">
        <v>3046246</v>
      </c>
      <c r="J15" s="13">
        <f>IF(C15="BUY",J14+F15,J14-L14*E15)</f>
        <v>18.728200000000001</v>
      </c>
      <c r="K15" s="13">
        <f>IF(C15="BUY",K14+E15,K14-E15)</f>
        <v>3046246</v>
      </c>
      <c r="L15" s="13">
        <f t="shared" si="0"/>
        <v>6.1479604733169948E-6</v>
      </c>
      <c r="M15" s="13">
        <f>IF(C15="SELL",F15-L14*E15,0)</f>
        <v>0</v>
      </c>
      <c r="N15" s="2">
        <f>N14+IF(C15="SELL",M15,0)</f>
        <v>0</v>
      </c>
    </row>
    <row r="16" spans="1:14" x14ac:dyDescent="0.3">
      <c r="A16" s="3">
        <v>46141.054224537038</v>
      </c>
      <c r="B16" s="13" t="s">
        <v>9</v>
      </c>
      <c r="C16" s="13" t="s">
        <v>10</v>
      </c>
      <c r="D16" s="13">
        <v>6.0000000000000002E-6</v>
      </c>
      <c r="E16" s="13">
        <v>1</v>
      </c>
      <c r="F16" s="13">
        <v>0</v>
      </c>
      <c r="G16" s="13">
        <v>1E-8</v>
      </c>
      <c r="H16" s="13">
        <v>6.0000000000000002E-6</v>
      </c>
      <c r="I16" s="13">
        <v>3046247</v>
      </c>
      <c r="J16" s="13">
        <f>IF(C16="BUY",J15+F16,J15-L15*E16)</f>
        <v>18.728200000000001</v>
      </c>
      <c r="K16" s="13">
        <f>IF(C16="BUY",K15+E16,K15-E16)</f>
        <v>3046247</v>
      </c>
      <c r="L16" s="13">
        <f t="shared" si="0"/>
        <v>6.1479584551088607E-6</v>
      </c>
      <c r="M16" s="13">
        <f>IF(C16="SELL",F16-L15*E16,0)</f>
        <v>0</v>
      </c>
      <c r="N16" s="2">
        <f>N15+IF(C16="SELL",M16,0)</f>
        <v>0</v>
      </c>
    </row>
    <row r="17" spans="1:14" x14ac:dyDescent="0.3">
      <c r="A17" s="3">
        <v>46141.054224537038</v>
      </c>
      <c r="B17" s="13" t="s">
        <v>9</v>
      </c>
      <c r="C17" s="13" t="s">
        <v>10</v>
      </c>
      <c r="D17" s="13">
        <v>6.0000000000000002E-6</v>
      </c>
      <c r="E17" s="13">
        <v>203330</v>
      </c>
      <c r="F17" s="13">
        <v>1.2484</v>
      </c>
      <c r="G17" s="13">
        <v>1.44E-6</v>
      </c>
      <c r="H17" s="13">
        <v>6.0000000000000002E-6</v>
      </c>
      <c r="I17" s="13">
        <v>3249577</v>
      </c>
      <c r="J17" s="13">
        <f>IF(C17="BUY",J16+F17,J16-L16*E17)</f>
        <v>19.976600000000001</v>
      </c>
      <c r="K17" s="13">
        <f>IF(C17="BUY",K16+E17,K16-E17)</f>
        <v>3249577</v>
      </c>
      <c r="L17" s="13">
        <f t="shared" si="0"/>
        <v>6.1474462676219094E-6</v>
      </c>
      <c r="M17" s="13">
        <f>IF(C17="SELL",F17-L16*E17,0)</f>
        <v>0</v>
      </c>
      <c r="N17" s="2">
        <f>N16+IF(C17="SELL",M17,0)</f>
        <v>0</v>
      </c>
    </row>
    <row r="18" spans="1:14" x14ac:dyDescent="0.3">
      <c r="A18" s="3">
        <v>46141.064699074072</v>
      </c>
      <c r="B18" s="13" t="s">
        <v>9</v>
      </c>
      <c r="C18" s="13" t="s">
        <v>10</v>
      </c>
      <c r="D18" s="13">
        <v>6.0000000000000002E-6</v>
      </c>
      <c r="E18" s="13">
        <v>191132</v>
      </c>
      <c r="F18" s="13">
        <v>1.1736</v>
      </c>
      <c r="G18" s="13">
        <v>1.35E-6</v>
      </c>
      <c r="H18" s="13">
        <v>6.0000000000000002E-6</v>
      </c>
      <c r="I18" s="13">
        <v>3440709</v>
      </c>
      <c r="J18" s="13">
        <f>IF(C18="BUY",J17+F18,J17-L17*E18)</f>
        <v>21.150200000000002</v>
      </c>
      <c r="K18" s="13">
        <f>IF(C18="BUY",K17+E18,K17-E18)</f>
        <v>3440709</v>
      </c>
      <c r="L18" s="13">
        <f t="shared" si="0"/>
        <v>6.1470470185069423E-6</v>
      </c>
      <c r="M18" s="13">
        <f>IF(C18="SELL",F18-L17*E18,0)</f>
        <v>0</v>
      </c>
      <c r="N18" s="2">
        <f>N17+IF(C18="SELL",M18,0)</f>
        <v>0</v>
      </c>
    </row>
    <row r="19" spans="1:14" x14ac:dyDescent="0.3">
      <c r="A19" s="3">
        <v>46141.075185185182</v>
      </c>
      <c r="B19" s="13" t="s">
        <v>9</v>
      </c>
      <c r="C19" s="13" t="s">
        <v>10</v>
      </c>
      <c r="D19" s="13">
        <v>6.0000000000000002E-6</v>
      </c>
      <c r="E19" s="13">
        <v>168856</v>
      </c>
      <c r="F19" s="13">
        <v>1.0402</v>
      </c>
      <c r="G19" s="13">
        <v>1.1999999999999999E-6</v>
      </c>
      <c r="H19" s="13">
        <v>6.0000000000000002E-6</v>
      </c>
      <c r="I19" s="13">
        <v>3609565</v>
      </c>
      <c r="J19" s="13">
        <f>IF(C19="BUY",J18+F19,J18-L18*E19)</f>
        <v>22.1904</v>
      </c>
      <c r="K19" s="13">
        <f>IF(C19="BUY",K18+E19,K18-E19)</f>
        <v>3609565</v>
      </c>
      <c r="L19" s="13">
        <f t="shared" si="0"/>
        <v>6.1476659929936153E-6</v>
      </c>
      <c r="M19" s="13">
        <f>IF(C19="SELL",F19-L18*E19,0)</f>
        <v>0</v>
      </c>
      <c r="N19" s="2">
        <f>N18+IF(C19="SELL",M19,0)</f>
        <v>0</v>
      </c>
    </row>
    <row r="20" spans="1:14" x14ac:dyDescent="0.3">
      <c r="A20" s="3">
        <v>46142.019444444442</v>
      </c>
      <c r="B20" s="13" t="s">
        <v>9</v>
      </c>
      <c r="C20" s="13" t="s">
        <v>10</v>
      </c>
      <c r="D20" s="13">
        <v>6.0000000000000002E-6</v>
      </c>
      <c r="E20" s="13">
        <v>236115</v>
      </c>
      <c r="F20" s="13">
        <v>1.4639</v>
      </c>
      <c r="G20" s="13">
        <v>1.68E-6</v>
      </c>
      <c r="H20" s="13">
        <v>6.0000000000000002E-6</v>
      </c>
      <c r="I20" s="13">
        <v>3845680</v>
      </c>
      <c r="J20" s="13">
        <f>IF(C20="BUY",J19+F20,J19-L19*E20)</f>
        <v>23.654299999999999</v>
      </c>
      <c r="K20" s="13">
        <f>IF(C20="BUY",K19+E20,K19-E20)</f>
        <v>3845680</v>
      </c>
      <c r="L20" s="13">
        <f t="shared" si="0"/>
        <v>6.1508757878970691E-6</v>
      </c>
      <c r="M20" s="13">
        <f>IF(C20="SELL",F20-L19*E20,0)</f>
        <v>0</v>
      </c>
      <c r="N20" s="2">
        <f>N19+IF(C20="SELL",M20,0)</f>
        <v>0</v>
      </c>
    </row>
    <row r="21" spans="1:14" x14ac:dyDescent="0.3">
      <c r="A21" s="3">
        <v>46142.029942129629</v>
      </c>
      <c r="B21" s="13" t="s">
        <v>9</v>
      </c>
      <c r="C21" s="13" t="s">
        <v>10</v>
      </c>
      <c r="D21" s="13">
        <v>6.0000000000000002E-6</v>
      </c>
      <c r="E21" s="13">
        <v>213451</v>
      </c>
      <c r="F21" s="13">
        <v>1.3298000000000001</v>
      </c>
      <c r="G21" s="13">
        <v>1.5099999999999999E-6</v>
      </c>
      <c r="H21" s="13">
        <v>6.0000000000000002E-6</v>
      </c>
      <c r="I21" s="13">
        <v>4059131</v>
      </c>
      <c r="J21" s="13">
        <f>IF(C21="BUY",J20+F21,J20-L20*E21)</f>
        <v>24.984099999999998</v>
      </c>
      <c r="K21" s="13">
        <f>IF(C21="BUY",K20+E21,K20-E21)</f>
        <v>4059131</v>
      </c>
      <c r="L21" s="13">
        <f t="shared" si="0"/>
        <v>6.1550366322249756E-6</v>
      </c>
      <c r="M21" s="13">
        <f>IF(C21="SELL",F21-L20*E21,0)</f>
        <v>0</v>
      </c>
      <c r="N21" s="2">
        <f>N20+IF(C21="SELL",M21,0)</f>
        <v>0</v>
      </c>
    </row>
    <row r="22" spans="1:14" x14ac:dyDescent="0.3">
      <c r="A22" s="3">
        <v>46142.040439814817</v>
      </c>
      <c r="B22" s="13" t="s">
        <v>9</v>
      </c>
      <c r="C22" s="13" t="s">
        <v>10</v>
      </c>
      <c r="D22" s="13">
        <v>6.0000000000000002E-6</v>
      </c>
      <c r="E22" s="13">
        <v>174142</v>
      </c>
      <c r="F22" s="13">
        <v>1.0919000000000001</v>
      </c>
      <c r="G22" s="13">
        <v>1.2300000000000001E-6</v>
      </c>
      <c r="H22" s="13">
        <v>6.0000000000000002E-6</v>
      </c>
      <c r="I22" s="13">
        <v>4233273</v>
      </c>
      <c r="J22" s="13">
        <f>IF(C22="BUY",J21+F22,J21-L21*E22)</f>
        <v>26.075999999999997</v>
      </c>
      <c r="K22" s="13">
        <f>IF(C22="BUY",K21+E22,K21-E22)</f>
        <v>4233273</v>
      </c>
      <c r="L22" s="13">
        <f t="shared" si="0"/>
        <v>6.1597728282584179E-6</v>
      </c>
      <c r="M22" s="13">
        <f>IF(C22="SELL",F22-L21*E22,0)</f>
        <v>0</v>
      </c>
      <c r="N22" s="2">
        <f>N21+IF(C22="SELL",M22,0)</f>
        <v>0</v>
      </c>
    </row>
    <row r="23" spans="1:14" x14ac:dyDescent="0.3">
      <c r="A23" s="3">
        <v>46146.853796296295</v>
      </c>
      <c r="B23" s="13" t="s">
        <v>9</v>
      </c>
      <c r="C23" s="13" t="s">
        <v>11</v>
      </c>
      <c r="D23" s="13">
        <v>6.0000000000000002E-6</v>
      </c>
      <c r="E23" s="13">
        <v>2116636</v>
      </c>
      <c r="F23" s="13">
        <v>13.0808</v>
      </c>
      <c r="G23" s="13">
        <v>1.4929999999999999E-5</v>
      </c>
      <c r="H23" s="13">
        <v>6.0000000000000002E-6</v>
      </c>
      <c r="I23" s="13">
        <v>2116637</v>
      </c>
      <c r="J23" s="13">
        <f>IF(C23="BUY",J22+F23,J22-L22*E23)</f>
        <v>13.038003079886412</v>
      </c>
      <c r="K23" s="13">
        <f>IF(C23="BUY",K22+E23,K22-E23)</f>
        <v>2116637</v>
      </c>
      <c r="L23" s="13">
        <f t="shared" si="0"/>
        <v>6.159772828258417E-6</v>
      </c>
      <c r="M23" s="13">
        <f>IF(C23="SELL",F23-L22*E23,0)</f>
        <v>4.2803079886414963E-2</v>
      </c>
      <c r="N23" s="2">
        <f>N22+IF(C23="SELL",M23,0)</f>
        <v>4.2803079886414963E-2</v>
      </c>
    </row>
    <row r="24" spans="1:14" x14ac:dyDescent="0.3">
      <c r="A24" s="3">
        <v>46146.853888888887</v>
      </c>
      <c r="B24" s="13" t="s">
        <v>9</v>
      </c>
      <c r="C24" s="13" t="s">
        <v>11</v>
      </c>
      <c r="D24" s="13">
        <v>6.0000000000000002E-6</v>
      </c>
      <c r="E24" s="13">
        <v>1693309</v>
      </c>
      <c r="F24" s="13">
        <v>10.464600000000001</v>
      </c>
      <c r="G24" s="13">
        <v>1.1939999999999999E-5</v>
      </c>
      <c r="H24" s="13">
        <v>6.0000000000000002E-6</v>
      </c>
      <c r="I24" s="13">
        <v>423328</v>
      </c>
      <c r="J24" s="13">
        <f>IF(C24="BUY",J23+F24,J23-L23*E24)</f>
        <v>2.60760431184098</v>
      </c>
      <c r="K24" s="13">
        <f>IF(C24="BUY",K23+E24,K23-E24)</f>
        <v>423328</v>
      </c>
      <c r="L24" s="13">
        <f t="shared" si="0"/>
        <v>6.1597728282584187E-6</v>
      </c>
      <c r="M24" s="13">
        <f>IF(C24="SELL",F24-L23*E24,0)</f>
        <v>3.4201231954568811E-2</v>
      </c>
      <c r="N24" s="2">
        <f>N23+IF(C24="SELL",M24,0)</f>
        <v>7.7004311840983775E-2</v>
      </c>
    </row>
    <row r="25" spans="1:14" x14ac:dyDescent="0.3">
      <c r="A25" s="3">
        <v>46146.864282407405</v>
      </c>
      <c r="B25" s="13" t="s">
        <v>9</v>
      </c>
      <c r="C25" s="13" t="s">
        <v>11</v>
      </c>
      <c r="D25" s="13">
        <v>6.0000000000000002E-6</v>
      </c>
      <c r="E25" s="13">
        <v>211664</v>
      </c>
      <c r="F25" s="13">
        <v>1.3081</v>
      </c>
      <c r="G25" s="13">
        <v>1.4899999999999999E-6</v>
      </c>
      <c r="H25" s="13">
        <v>6.0000000000000002E-6</v>
      </c>
      <c r="I25" s="13">
        <v>211664</v>
      </c>
      <c r="J25" s="13">
        <f>IF(C25="BUY",J24+F25,J24-L24*E25)</f>
        <v>1.30380215592049</v>
      </c>
      <c r="K25" s="13">
        <f>IF(C25="BUY",K24+E25,K24-E25)</f>
        <v>211664</v>
      </c>
      <c r="L25" s="13">
        <f t="shared" si="0"/>
        <v>6.1597728282584187E-6</v>
      </c>
      <c r="M25" s="13">
        <f>IF(C25="SELL",F25-L24*E25,0)</f>
        <v>4.2978440795100603E-3</v>
      </c>
      <c r="N25" s="2">
        <f>N24+IF(C25="SELL",M25,0)</f>
        <v>8.1302155920493835E-2</v>
      </c>
    </row>
    <row r="26" spans="1:14" x14ac:dyDescent="0.3">
      <c r="A26" s="3">
        <v>46146.864351851851</v>
      </c>
      <c r="B26" s="13" t="s">
        <v>9</v>
      </c>
      <c r="C26" s="13" t="s">
        <v>11</v>
      </c>
      <c r="D26" s="13">
        <v>6.0000000000000002E-6</v>
      </c>
      <c r="E26" s="13">
        <v>169331</v>
      </c>
      <c r="F26" s="13">
        <v>1.0465</v>
      </c>
      <c r="G26" s="13">
        <v>1.19E-6</v>
      </c>
      <c r="H26" s="13">
        <v>6.0000000000000002E-6</v>
      </c>
      <c r="I26" s="13">
        <v>42333</v>
      </c>
      <c r="J26" s="13">
        <f>IF(C26="BUY",J25+F26,J25-L25*E26)</f>
        <v>0.26076166313866378</v>
      </c>
      <c r="K26" s="13">
        <f>IF(C26="BUY",K25+E26,K25-E26)</f>
        <v>42333</v>
      </c>
      <c r="L26" s="13">
        <f t="shared" si="0"/>
        <v>6.1597728282584221E-6</v>
      </c>
      <c r="M26" s="13">
        <f>IF(C26="SELL",F26-L25*E26,0)</f>
        <v>3.4595072181737851E-3</v>
      </c>
      <c r="N26" s="2">
        <f>N25+IF(C26="SELL",M26,0)</f>
        <v>8.476166313866762E-2</v>
      </c>
    </row>
    <row r="27" spans="1:14" x14ac:dyDescent="0.3">
      <c r="A27" s="3">
        <v>46146.906192129631</v>
      </c>
      <c r="B27" s="13" t="s">
        <v>9</v>
      </c>
      <c r="C27" s="13" t="s">
        <v>10</v>
      </c>
      <c r="D27" s="13">
        <v>6.0000000000000002E-6</v>
      </c>
      <c r="E27" s="13">
        <v>604820</v>
      </c>
      <c r="F27" s="13">
        <v>3.7559</v>
      </c>
      <c r="G27" s="13">
        <v>4.3000000000000003E-6</v>
      </c>
      <c r="H27" s="13">
        <v>6.0000000000000002E-6</v>
      </c>
      <c r="I27" s="13">
        <v>647153</v>
      </c>
      <c r="J27" s="13">
        <f>IF(C27="BUY",J26+F27,J26-L26*E27)</f>
        <v>4.016661663138664</v>
      </c>
      <c r="K27" s="13">
        <f>IF(C27="BUY",K26+E27,K26-E27)</f>
        <v>647153</v>
      </c>
      <c r="L27" s="13">
        <f t="shared" si="0"/>
        <v>6.2066646730196167E-6</v>
      </c>
      <c r="M27" s="13">
        <f>IF(C27="SELL",F27-L26*E27,0)</f>
        <v>0</v>
      </c>
      <c r="N27" s="2">
        <f>N26+IF(C27="SELL",M27,0)</f>
        <v>8.476166313866762E-2</v>
      </c>
    </row>
    <row r="28" spans="1:14" x14ac:dyDescent="0.3">
      <c r="A28" s="3">
        <v>46146.916689814818</v>
      </c>
      <c r="B28" s="13" t="s">
        <v>9</v>
      </c>
      <c r="C28" s="13" t="s">
        <v>11</v>
      </c>
      <c r="D28" s="13">
        <v>6.0000000000000002E-6</v>
      </c>
      <c r="E28" s="13">
        <v>323576</v>
      </c>
      <c r="F28" s="13">
        <v>2.0062000000000002</v>
      </c>
      <c r="G28" s="13">
        <v>2.2800000000000002E-6</v>
      </c>
      <c r="H28" s="13">
        <v>6.0000000000000002E-6</v>
      </c>
      <c r="I28" s="13">
        <v>323577</v>
      </c>
      <c r="J28" s="13">
        <f>IF(C28="BUY",J27+F28,J27-L27*E28)</f>
        <v>2.0083339349016684</v>
      </c>
      <c r="K28" s="13">
        <f>IF(C28="BUY",K27+E28,K27-E28)</f>
        <v>323577</v>
      </c>
      <c r="L28" s="13">
        <f t="shared" si="0"/>
        <v>6.2066646730196167E-6</v>
      </c>
      <c r="M28" s="13">
        <f>IF(C28="SELL",F28-L27*E28,0)</f>
        <v>-2.1277282369953632E-3</v>
      </c>
      <c r="N28" s="2">
        <f>N27+IF(C28="SELL",M28,0)</f>
        <v>8.2633934901672257E-2</v>
      </c>
    </row>
    <row r="29" spans="1:14" ht="15" thickBot="1" x14ac:dyDescent="0.35">
      <c r="A29" s="4">
        <v>46146.927164351851</v>
      </c>
      <c r="B29" s="5" t="s">
        <v>9</v>
      </c>
      <c r="C29" s="5" t="s">
        <v>11</v>
      </c>
      <c r="D29" s="5">
        <v>6.0000000000000002E-6</v>
      </c>
      <c r="E29" s="5">
        <v>161788</v>
      </c>
      <c r="F29" s="5">
        <v>1.0046999999999999</v>
      </c>
      <c r="G29" s="5">
        <v>1.1400000000000001E-6</v>
      </c>
      <c r="H29" s="5">
        <v>6.0000000000000002E-6</v>
      </c>
      <c r="I29" s="5">
        <v>161789</v>
      </c>
      <c r="J29" s="5">
        <f>IF(C29="BUY",J28+F29,J28-L28*E29)</f>
        <v>1.0041700707831707</v>
      </c>
      <c r="K29" s="5">
        <f>IF(C29="BUY",K28+E29,K28-E29)</f>
        <v>161789</v>
      </c>
      <c r="L29" s="5">
        <f t="shared" si="0"/>
        <v>6.2066646730196159E-6</v>
      </c>
      <c r="M29" s="5">
        <f>IF(C29="SELL",F29-L28*E29,0)</f>
        <v>5.361358815021422E-4</v>
      </c>
      <c r="N29" s="6">
        <f>N28+IF(C29="SELL",M29,0)</f>
        <v>8.3170070783174399E-2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SHIBA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Přikryl</dc:creator>
  <cp:lastModifiedBy>Jan Přikryl</cp:lastModifiedBy>
  <dcterms:created xsi:type="dcterms:W3CDTF">2026-05-10T09:52:23Z</dcterms:created>
  <dcterms:modified xsi:type="dcterms:W3CDTF">2026-05-11T07:52:48Z</dcterms:modified>
</cp:coreProperties>
</file>