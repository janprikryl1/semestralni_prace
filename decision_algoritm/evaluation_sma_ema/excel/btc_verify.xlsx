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harset val="238"/>
      <family val="2"/>
      <color theme="1"/>
      <sz val="11"/>
      <scheme val="minor"/>
    </font>
    <font>
      <b val="1"/>
    </font>
    <font>
      <b val="1"/>
      <sz val="12"/>
    </font>
    <font>
      <b val="1"/>
      <sz val="10"/>
    </font>
    <font>
      <sz val="10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2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2" fontId="0" fillId="0" borderId="0" pivotButton="0" quotePrefix="0" xfId="0"/>
    <xf numFmtId="22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9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4" fillId="2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pnl.py verifikace</author>
  </authors>
  <commentList>
    <comment ref="L1" authorId="0" shapeId="0">
      <text>
        <t>Celkova porízovací cena (running total)
BUY: pricti notional
SELL: odecti avg_cost × prodane mnozstvi
Pocatecni hodnota: L2=0</t>
      </text>
    </comment>
    <comment ref="M1" authorId="0" shapeId="0">
      <text>
        <t>Drzene mnozstvi (running qty)
BUY: pricti qty
SELL: odecti qty
Pocatecni hodnota: M2=0</t>
      </text>
    </comment>
    <comment ref="N1" authorId="0" shapeId="0">
      <text>
        <t>Prumerna nakupni cena (AVCO)
= TotalCost / Qty
Srovnej s H (AvgCost ze skriptu)
Musi se shodovat na desetinna mista</t>
      </text>
    </comment>
    <comment ref="O1" authorId="0" shapeId="0">
      <text>
        <t>Zisk/ztrata tohoto tradu
Pouze pro SELL: notional - (avg_cost × sold_qty)
Pro BUY = 0
Srovnej s J (TradePnL ze skriptu)</t>
      </text>
    </comment>
    <comment ref="P1" authorId="0" shapeId="0">
      <text>
        <t>Kumulativni realizovany P&amp;L
Soucet vsech TradePnL do tohoto radku
Srovnej s K (KumPnL ze skriptu)</t>
      </text>
    </comment>
  </commentList>
</comment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tabSelected="1" workbookViewId="0">
      <selection activeCell="B11" sqref="B11"/>
    </sheetView>
  </sheetViews>
  <sheetFormatPr baseColWidth="8" defaultRowHeight="14.4"/>
  <cols>
    <col width="22" customWidth="1" style="5" min="1" max="1"/>
    <col width="44" customWidth="1" style="5" min="2" max="2"/>
    <col width="52" customWidth="1" style="5" min="3" max="3"/>
    <col width="28" customWidth="1" style="5" min="4" max="4"/>
    <col width="11" customWidth="1" style="5" min="5" max="5"/>
    <col width="9.5546875" customWidth="1" style="5" min="6" max="6"/>
    <col width="15" customWidth="1" style="5" min="7" max="7"/>
    <col width="14.21875" customWidth="1" style="5" min="8" max="8"/>
    <col width="10.5546875" customWidth="1" style="5" min="9" max="9"/>
    <col width="16" customWidth="1" style="5" min="12" max="12"/>
    <col width="16" customWidth="1" style="5" min="13" max="13"/>
    <col width="16" customWidth="1" style="5" min="14" max="14"/>
    <col width="16" customWidth="1" style="5" min="15" max="15"/>
    <col width="16" customWidth="1" style="5" min="16" max="16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11" t="inlineStr">
        <is>
          <t>TotalCost_calc</t>
        </is>
      </c>
      <c r="M1" s="11" t="inlineStr">
        <is>
          <t>Qty_calc</t>
        </is>
      </c>
      <c r="N1" s="11" t="inlineStr">
        <is>
          <t>AvgCost_calc</t>
        </is>
      </c>
      <c r="O1" s="11" t="inlineStr">
        <is>
          <t>TradePnL_calc</t>
        </is>
      </c>
      <c r="P1" s="11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4" t="n">
        <v>46134.90459490741</v>
      </c>
      <c r="B3" t="inlineStr">
        <is>
          <t>BTCUSDC</t>
        </is>
      </c>
      <c r="C3" t="inlineStr">
        <is>
          <t>BUY</t>
        </is>
      </c>
      <c r="D3" t="n">
        <v>78784.36</v>
      </c>
      <c r="E3" t="n">
        <v>6.999999999999999e-05</v>
      </c>
      <c r="F3" t="n">
        <v>5.5149</v>
      </c>
      <c r="G3" t="n">
        <v>6.44e-06</v>
      </c>
      <c r="H3" t="n">
        <v>78784.36</v>
      </c>
      <c r="I3" t="inlineStr">
        <is>
          <t>0.000070</t>
        </is>
      </c>
      <c r="K3" s="6" t="n"/>
      <c r="L3" s="12">
        <f>IF(C3="BUY",L2+F3,L2-N2*E3)</f>
        <v/>
      </c>
      <c r="M3" s="12">
        <f>IF(C3="BUY",M2+E3,M2-E3)</f>
        <v/>
      </c>
      <c r="N3" s="12">
        <f>IF(M3&gt;0,L3/M3,0)</f>
        <v/>
      </c>
      <c r="O3" s="12">
        <f>IF(C3="SELL",F3-N2*E3,0)</f>
        <v/>
      </c>
      <c r="P3" s="12">
        <f>P2+IF(C3="SELL",O3,0)</f>
        <v/>
      </c>
    </row>
    <row r="4">
      <c r="A4" s="4" t="n">
        <v>46138.87305555555</v>
      </c>
      <c r="B4" t="inlineStr">
        <is>
          <t>BTCUSDC</t>
        </is>
      </c>
      <c r="C4" t="inlineStr">
        <is>
          <t>BUY</t>
        </is>
      </c>
      <c r="D4" t="n">
        <v>78266.61</v>
      </c>
      <c r="E4" t="n">
        <v>0.00011</v>
      </c>
      <c r="F4" t="n">
        <v>8.609299999999999</v>
      </c>
      <c r="G4" t="n">
        <v>9.24e-06</v>
      </c>
      <c r="H4" t="n">
        <v>78266.61</v>
      </c>
      <c r="I4" t="n">
        <v>0.00011</v>
      </c>
      <c r="K4" s="6" t="n"/>
      <c r="L4" s="12">
        <f>IF(C4="BUY",L3+F4,L3-N3*E4)</f>
        <v/>
      </c>
      <c r="M4" s="12">
        <f>IF(C4="BUY",M3+E4,M3-E4)</f>
        <v/>
      </c>
      <c r="N4" s="12">
        <f>IF(M4&gt;0,L4/M4,0)</f>
        <v/>
      </c>
      <c r="O4" s="12">
        <f>IF(C4="SELL",F4-N3*E4,0)</f>
        <v/>
      </c>
      <c r="P4" s="12">
        <f>P3+IF(C4="SELL",O4,0)</f>
        <v/>
      </c>
    </row>
    <row r="5">
      <c r="A5" s="4" t="n">
        <v>46146.86427083334</v>
      </c>
      <c r="B5" t="inlineStr">
        <is>
          <t>BTCUSDC</t>
        </is>
      </c>
      <c r="C5" t="inlineStr">
        <is>
          <t>BUY</t>
        </is>
      </c>
      <c r="D5" t="n">
        <v>79910.75</v>
      </c>
      <c r="E5" t="n">
        <v>9.000000000000001e-05</v>
      </c>
      <c r="F5" t="n">
        <v>7.192</v>
      </c>
      <c r="G5" t="n">
        <v>8.65e-06</v>
      </c>
      <c r="H5" t="n">
        <v>79006.473</v>
      </c>
      <c r="I5" t="n">
        <v>0.0002</v>
      </c>
      <c r="K5" s="6" t="n"/>
      <c r="L5" s="12">
        <f>IF(C5="BUY",L4+F5,L4-N4*E5)</f>
        <v/>
      </c>
      <c r="M5" s="12">
        <f>IF(C5="BUY",M4+E5,M4-E5)</f>
        <v/>
      </c>
      <c r="N5" s="12">
        <f>IF(M5&gt;0,L5/M5,0)</f>
        <v/>
      </c>
      <c r="O5" s="12">
        <f>IF(C5="SELL",F5-N4*E5,0)</f>
        <v/>
      </c>
      <c r="P5" s="12">
        <f>P4+IF(C5="SELL",O5,0)</f>
        <v/>
      </c>
    </row>
    <row r="6" ht="15" customHeight="1" s="5" thickBot="1">
      <c r="A6" s="4" t="n">
        <v>46146.87474537037</v>
      </c>
      <c r="B6" t="inlineStr">
        <is>
          <t>BTCUSDC</t>
        </is>
      </c>
      <c r="C6" t="inlineStr">
        <is>
          <t>BUY</t>
        </is>
      </c>
      <c r="D6" t="n">
        <v>79934.88</v>
      </c>
      <c r="E6" t="n">
        <v>8.000000000000001e-05</v>
      </c>
      <c r="F6" s="7" t="n">
        <v>6.3948</v>
      </c>
      <c r="G6" t="n">
        <v>7.689999999999999e-06</v>
      </c>
      <c r="H6" t="n">
        <v>79271.732143</v>
      </c>
      <c r="I6" t="n">
        <v>0.00028</v>
      </c>
      <c r="K6" s="6" t="n"/>
      <c r="L6" s="12">
        <f>IF(C6="BUY",L5+F6,L5-N5*E6)</f>
        <v/>
      </c>
      <c r="M6" s="12">
        <f>IF(C6="BUY",M5+E6,M5-E6)</f>
        <v/>
      </c>
      <c r="N6" s="12">
        <f>IF(M6&gt;0,L6/M6,0)</f>
        <v/>
      </c>
      <c r="O6" s="12">
        <f>IF(C6="SELL",F6-N5*E6,0)</f>
        <v/>
      </c>
      <c r="P6" s="12">
        <f>P5+IF(C6="SELL",O6,0)</f>
        <v/>
      </c>
    </row>
    <row r="7">
      <c r="A7" s="8" t="n">
        <v>46147.41851851852</v>
      </c>
      <c r="B7" s="9" t="inlineStr">
        <is>
          <t>BTCUSDC</t>
        </is>
      </c>
      <c r="C7" s="9" t="inlineStr">
        <is>
          <t>SELL</t>
        </is>
      </c>
      <c r="D7" s="9" t="n">
        <v>80539.47</v>
      </c>
      <c r="E7" s="9" t="n">
        <v>0.00025</v>
      </c>
      <c r="F7" s="9" t="n">
        <v>20.1349</v>
      </c>
      <c r="G7" s="9" t="n">
        <v>2.288e-05</v>
      </c>
      <c r="H7" s="9" t="n">
        <v>79271.732143</v>
      </c>
      <c r="I7" s="9" t="n">
        <v>3e-05</v>
      </c>
      <c r="J7" s="9" t="n">
        <v>0.3169</v>
      </c>
      <c r="K7" s="10" t="n">
        <v>0.2534</v>
      </c>
      <c r="L7" s="12">
        <f>IF(C7="BUY",L6+F7,L6-N6*E7)</f>
        <v/>
      </c>
      <c r="M7" s="12">
        <f>IF(C7="BUY",M6+E7,M6-E7)</f>
        <v/>
      </c>
      <c r="N7" s="12">
        <f>IF(M7&gt;0,L7/M7,0)</f>
        <v/>
      </c>
      <c r="O7" s="12">
        <f>IF(C7="SELL",F7-N6*E7,0)</f>
        <v/>
      </c>
      <c r="P7" s="12">
        <f>P6+IF(C7="SELL",O7,0)</f>
        <v/>
      </c>
    </row>
    <row r="10">
      <c r="A10" s="13" t="inlineStr">
        <is>
          <t>LEGENDA — Jak vzorce fungují (AVCO metodika)</t>
        </is>
      </c>
    </row>
    <row r="11" ht="18" customHeight="1" s="5">
      <c r="A11" s="14" t="inlineStr">
        <is>
          <t>Sloupec</t>
        </is>
      </c>
      <c r="B11" s="15" t="inlineStr">
        <is>
          <t>Vzorec</t>
        </is>
      </c>
      <c r="C11" s="15" t="inlineStr">
        <is>
          <t>Co počítá</t>
        </is>
      </c>
      <c r="D11" s="15" t="inlineStr">
        <is>
          <t>Srovnání se skriptem</t>
        </is>
      </c>
    </row>
    <row r="12" ht="40" customHeight="1" s="5">
      <c r="A12" s="16" t="inlineStr">
        <is>
          <t>L  TotalCost_calc</t>
        </is>
      </c>
      <c r="B12" s="17">
        <f>IF(Směr="BUY", L_prev+Notional, L_prev−N_prev×Qty)</f>
        <v/>
      </c>
      <c r="C12" s="17" t="inlineStr">
        <is>
          <t>Kolik USDC jsi celkem vložil do aktuálně držených pozic. BUY přičte, SELL odečte průměrnou cenu za prodané množství.</t>
        </is>
      </c>
      <c r="D12" s="17" t="inlineStr">
        <is>
          <t>—</t>
        </is>
      </c>
    </row>
    <row r="13" ht="40" customHeight="1" s="5">
      <c r="A13" s="16" t="inlineStr">
        <is>
          <t>M  Qty_calc</t>
        </is>
      </c>
      <c r="B13" s="17">
        <f>IF(Směr="BUY", M_prev+Qty, M_prev−Qty)</f>
        <v/>
      </c>
      <c r="C13" s="17" t="inlineStr">
        <is>
          <t>Kolik BTC aktuálně držíš. BUY přičte, SELL odečte.</t>
        </is>
      </c>
      <c r="D13" s="17" t="inlineStr">
        <is>
          <t>—</t>
        </is>
      </c>
    </row>
    <row r="14" ht="40" customHeight="1" s="5">
      <c r="A14" s="16" t="inlineStr">
        <is>
          <t>N  AvgCost_calc</t>
        </is>
      </c>
      <c r="B14" s="17">
        <f>IF(M&gt;0, L/M, 0)</f>
        <v/>
      </c>
      <c r="C14" s="17" t="inlineStr">
        <is>
          <t>Průměrná pořizovací cena = celková cena / držené množství.
Klesá při levných nákupech, roste při drahých.</t>
        </is>
      </c>
      <c r="D14" s="17" t="inlineStr">
        <is>
          <t>→ musí = H (AvgCost)</t>
        </is>
      </c>
    </row>
    <row r="15" ht="40" customHeight="1" s="5">
      <c r="A15" s="16" t="inlineStr">
        <is>
          <t>O  TradePnL_calc</t>
        </is>
      </c>
      <c r="B15" s="17">
        <f>IF(Směr="SELL", Notional − N_prev×Qty, 0)</f>
        <v/>
      </c>
      <c r="C15" s="17" t="inlineStr">
        <is>
          <t>Zisk/ztráta z tohoto prodeje.
Prodejní příjem minus průměrná pořizovací cena × prodané množství.</t>
        </is>
      </c>
      <c r="D15" s="17" t="inlineStr">
        <is>
          <t>→ musí = J (TradePnL)</t>
        </is>
      </c>
    </row>
    <row r="16" ht="40" customHeight="1" s="5">
      <c r="A16" s="16" t="inlineStr">
        <is>
          <t>P  KumPnL_calc</t>
        </is>
      </c>
      <c r="B16" s="17">
        <f>P_prev + IF(Směr="SELL", O, 0)</f>
        <v/>
      </c>
      <c r="C16" s="17" t="inlineStr">
        <is>
          <t>Kumulativní realizovaný P&amp;L — součet všech zisků/ztrát od začátku.</t>
        </is>
      </c>
      <c r="D16" s="17" t="inlineStr">
        <is>
          <t>→ musí = K (KumPnL)</t>
        </is>
      </c>
    </row>
    <row r="17" ht="30" customHeight="1" s="5">
      <c r="A17" s="18" t="inlineStr">
        <is>
          <t>Poznámka: N_prev = AvgCost z PŘEDCHOZÍHO řádku (před prodejem). U prvního řádku je L2=M2=P2=0 (počáteční stav — před prvním tradem jsi nedržel nic).</t>
        </is>
      </c>
    </row>
  </sheetData>
  <mergeCells count="2">
    <mergeCell ref="A10:P10"/>
    <mergeCell ref="A17:P17"/>
  </mergeCells>
  <pageMargins left="0.7" right="0.7" top="0.787401575" bottom="0.787401575" header="0.3" footer="0.3"/>
  <pageSetup orientation="portrait" paperSize="9" horizontalDpi="4294967293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2026-05-10T09:51:34Z</dcterms:created>
  <dcterms:modified xsi:type="dcterms:W3CDTF">2026-05-10T12:03:52Z</dcterms:modified>
  <cp:lastModifiedBy>Jan Přikryl</cp:lastModifiedBy>
</cp:coreProperties>
</file>