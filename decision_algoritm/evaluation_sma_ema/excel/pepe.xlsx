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PEP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0000"/>
      <sz val="11"/>
      <scheme val="minor"/>
    </font>
    <font>
      <name val="Aptos Narrow"/>
      <family val="2"/>
      <b val="1"/>
      <sz val="11"/>
    </font>
    <font>
      <name val="Aptos Narrow"/>
      <family val="2"/>
      <b val="1"/>
      <color rgb="FF000000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22" fontId="0" fillId="0" borderId="1" pivotButton="0" quotePrefix="0" xfId="0"/>
    <xf numFmtId="22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1" pivotButton="0" quotePrefix="0" xfId="0"/>
    <xf numFmtId="0" fontId="1" fillId="0" borderId="0" pivotButton="0" quotePrefix="0" xfId="0"/>
    <xf numFmtId="0" fontId="3" fillId="0" borderId="6" pivotButton="0" quotePrefix="0" xfId="0"/>
    <xf numFmtId="0" fontId="3" fillId="0" borderId="7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0" pivotButton="0" quotePrefix="0" xfId="0"/>
    <xf numFmtId="164" fontId="1" fillId="0" borderId="1" pivotButton="0" quotePrefix="0" xfId="0"/>
    <xf numFmtId="164" fontId="0" fillId="0" borderId="1" pivotButton="0" quotePrefix="0" xfId="0"/>
  </cellXfs>
  <cellStyles count="1">
    <cellStyle name="Normální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selection activeCell="S12" sqref="S12"/>
    </sheetView>
  </sheetViews>
  <sheetFormatPr baseColWidth="8" defaultRowHeight="14.4"/>
  <cols>
    <col width="15.77734375" customWidth="1" style="13" min="1" max="1"/>
    <col width="12" customWidth="1" style="13" min="2" max="2"/>
    <col width="13.33203125" customWidth="1" style="13" min="6" max="6"/>
    <col width="15.5546875" customWidth="1" style="13" min="7" max="7"/>
    <col width="11.21875" customWidth="1" style="13" min="8" max="8"/>
    <col width="12.44140625" customWidth="1" style="13" min="9" max="9"/>
    <col width="15.5546875" customWidth="1" style="13" min="10" max="10"/>
    <col width="10.33203125" customWidth="1" style="13" min="11" max="11"/>
    <col width="13.21875" customWidth="1" style="13" min="12" max="12"/>
    <col width="14.44140625" customWidth="1" style="13" min="13" max="13"/>
    <col width="13.33203125" customWidth="1" style="13" min="14" max="14"/>
  </cols>
  <sheetData>
    <row r="1">
      <c r="A1" s="9" t="inlineStr">
        <is>
          <t>Datum (UTC)</t>
        </is>
      </c>
      <c r="B1" s="10" t="inlineStr">
        <is>
          <t>Symbol</t>
        </is>
      </c>
      <c r="C1" s="10" t="inlineStr">
        <is>
          <t>Směr</t>
        </is>
      </c>
      <c r="D1" s="10" t="inlineStr">
        <is>
          <t>Cena</t>
        </is>
      </c>
      <c r="E1" s="10" t="inlineStr">
        <is>
          <t>Qty</t>
        </is>
      </c>
      <c r="F1" s="10" t="inlineStr">
        <is>
          <t>Notional</t>
        </is>
      </c>
      <c r="G1" s="10" t="inlineStr">
        <is>
          <t>Fee (PEPE/USDC)</t>
        </is>
      </c>
      <c r="H1" s="10" t="inlineStr">
        <is>
          <t xml:space="preserve">AvgCost </t>
        </is>
      </c>
      <c r="I1" s="10" t="inlineStr">
        <is>
          <t>QtyPo</t>
        </is>
      </c>
      <c r="J1" s="11" t="inlineStr">
        <is>
          <t>TotalCost_calc</t>
        </is>
      </c>
      <c r="K1" s="11" t="inlineStr">
        <is>
          <t>Qty_calc</t>
        </is>
      </c>
      <c r="L1" s="11" t="inlineStr">
        <is>
          <t>AvgCost_calc</t>
        </is>
      </c>
      <c r="M1" s="11" t="inlineStr">
        <is>
          <t>TradePnL_calc</t>
        </is>
      </c>
      <c r="N1" s="12" t="inlineStr">
        <is>
          <t>KumPnL_calc</t>
        </is>
      </c>
    </row>
    <row r="2">
      <c r="A2" s="14" t="n">
        <v>46138.87863425926</v>
      </c>
      <c r="B2" s="8" t="inlineStr">
        <is>
          <t>PEPEUSDC</t>
        </is>
      </c>
      <c r="C2" s="8" t="inlineStr">
        <is>
          <t>BUY</t>
        </is>
      </c>
      <c r="D2" s="8" t="n">
        <v>4e-06</v>
      </c>
      <c r="E2" s="8" t="n">
        <v>524173</v>
      </c>
      <c r="F2" s="8" t="n">
        <v>2.06</v>
      </c>
      <c r="G2" s="8" t="n">
        <v>497.96</v>
      </c>
      <c r="H2" s="8" t="n">
        <v>4e-06</v>
      </c>
      <c r="I2" s="8" t="n">
        <v>524173</v>
      </c>
      <c r="J2">
        <f>IF(C4="BUY",J2+F4,J2-L2*E4)</f>
        <v/>
      </c>
      <c r="K2">
        <f>IF(C4="BUY",K2+E4,K2-E4)</f>
        <v/>
      </c>
      <c r="L2">
        <f>IF(K4&gt;0,J4/K4,0)</f>
        <v/>
      </c>
      <c r="M2">
        <f>IF(C4="SELL",F4-L2*E4,0)</f>
        <v/>
      </c>
      <c r="N2" s="2">
        <f>N2+IF(C4="SELL",M4,0)</f>
        <v/>
      </c>
    </row>
    <row r="3">
      <c r="A3" s="15" t="n">
        <v>46139.61482638889</v>
      </c>
      <c r="B3" t="inlineStr">
        <is>
          <t>PEPEUSDC</t>
        </is>
      </c>
      <c r="C3" t="inlineStr">
        <is>
          <t>BUY</t>
        </is>
      </c>
      <c r="D3" t="n">
        <v>4e-06</v>
      </c>
      <c r="E3" t="n">
        <v>1205148</v>
      </c>
      <c r="F3" t="n">
        <v>4.7001</v>
      </c>
      <c r="G3" t="n">
        <v>1144.89</v>
      </c>
      <c r="H3" t="n">
        <v>4e-06</v>
      </c>
      <c r="I3" t="n">
        <v>1729321</v>
      </c>
      <c r="J3">
        <f>IF(C5="BUY",J4+F5,J4-L4*E5)</f>
        <v/>
      </c>
      <c r="K3">
        <f>IF(C5="BUY",K4+E5,K4-E5)</f>
        <v/>
      </c>
      <c r="L3">
        <f>IF(K5&gt;0,J5/K5,0)</f>
        <v/>
      </c>
      <c r="M3">
        <f>IF(C5="SELL",F5-L4*E5,0)</f>
        <v/>
      </c>
      <c r="N3" s="2">
        <f>N4+IF(C5="SELL",M5,0)</f>
        <v/>
      </c>
    </row>
    <row r="4">
      <c r="A4" s="3" t="n">
        <v>46139.90732638889</v>
      </c>
      <c r="B4" t="inlineStr">
        <is>
          <t>PEPEUSDC</t>
        </is>
      </c>
      <c r="C4" t="inlineStr">
        <is>
          <t>BUY</t>
        </is>
      </c>
      <c r="D4" t="n">
        <v>4e-06</v>
      </c>
      <c r="E4" t="n">
        <v>905744</v>
      </c>
      <c r="F4" t="n">
        <v>3.4781</v>
      </c>
      <c r="G4" t="n">
        <v>860.46</v>
      </c>
      <c r="H4" t="n">
        <v>4e-06</v>
      </c>
      <c r="I4" t="n">
        <v>2635065</v>
      </c>
      <c r="J4">
        <f>IF(C6="BUY",J5+F6,J5-L5*E6)</f>
        <v/>
      </c>
      <c r="K4">
        <f>IF(C6="BUY",K5+E6,K5-E6)</f>
        <v/>
      </c>
      <c r="L4">
        <f>IF(K6&gt;0,J6/K6,0)</f>
        <v/>
      </c>
      <c r="M4">
        <f>IF(C6="SELL",F6-L5*E6,0)</f>
        <v/>
      </c>
      <c r="N4" s="2">
        <f>N5+IF(C6="SELL",M6,0)</f>
        <v/>
      </c>
    </row>
    <row r="5">
      <c r="A5" s="3" t="n">
        <v>46139.94912037037</v>
      </c>
      <c r="B5" t="inlineStr">
        <is>
          <t>PEPEUSDC</t>
        </is>
      </c>
      <c r="C5" t="inlineStr">
        <is>
          <t>BUY</t>
        </is>
      </c>
      <c r="D5" t="n">
        <v>4e-06</v>
      </c>
      <c r="E5" t="n">
        <v>491858</v>
      </c>
      <c r="F5" t="n">
        <v>1.9035</v>
      </c>
      <c r="G5" t="n">
        <v>467.27</v>
      </c>
      <c r="H5" t="n">
        <v>4e-06</v>
      </c>
      <c r="I5" t="n">
        <v>3126923</v>
      </c>
      <c r="J5">
        <f>IF(C7="BUY",J6+F7,J6-L6*E7)</f>
        <v/>
      </c>
      <c r="K5">
        <f>IF(C7="BUY",K6+E7,K6-E7)</f>
        <v/>
      </c>
      <c r="L5">
        <f>IF(K7&gt;0,J7/K7,0)</f>
        <v/>
      </c>
      <c r="M5">
        <f>IF(C7="SELL",F7-L6*E7,0)</f>
        <v/>
      </c>
      <c r="N5" s="2">
        <f>N6+IF(C7="SELL",M7,0)</f>
        <v/>
      </c>
    </row>
    <row r="6">
      <c r="A6" s="3" t="n">
        <v>46140.7937037037</v>
      </c>
      <c r="B6" t="inlineStr">
        <is>
          <t>PEPEUSDC</t>
        </is>
      </c>
      <c r="C6" t="inlineStr">
        <is>
          <t>SELL</t>
        </is>
      </c>
      <c r="D6" t="n">
        <v>4e-06</v>
      </c>
      <c r="E6" t="n">
        <v>1561976</v>
      </c>
      <c r="F6" t="n">
        <v>6.0761</v>
      </c>
      <c r="G6" t="n">
        <v>0.00577228</v>
      </c>
      <c r="H6" t="n">
        <v>4e-06</v>
      </c>
      <c r="I6" t="n">
        <v>1564947</v>
      </c>
      <c r="J6">
        <f>IF(C8="BUY",J7+F8,J7-L7*E8)</f>
        <v/>
      </c>
      <c r="K6">
        <f>IF(C8="BUY",K7+E8,K7-E8)</f>
        <v/>
      </c>
      <c r="L6">
        <f>IF(K8&gt;0,J8/K8,0)</f>
        <v/>
      </c>
      <c r="M6">
        <f>IF(C8="SELL",F8-L7*E8,0)</f>
        <v/>
      </c>
      <c r="N6" s="2">
        <f>N7+IF(C8="SELL",M8,0)</f>
        <v/>
      </c>
    </row>
    <row r="7">
      <c r="A7" s="3" t="n">
        <v>46140.80561342592</v>
      </c>
      <c r="B7" t="inlineStr">
        <is>
          <t>PEPEUSDC</t>
        </is>
      </c>
      <c r="C7" t="inlineStr">
        <is>
          <t>BUY</t>
        </is>
      </c>
      <c r="D7" t="n">
        <v>4e-06</v>
      </c>
      <c r="E7" t="n">
        <v>363966</v>
      </c>
      <c r="F7" t="n">
        <v>1.4158</v>
      </c>
      <c r="G7" t="n">
        <v>345.77</v>
      </c>
      <c r="H7" t="n">
        <v>4e-06</v>
      </c>
      <c r="I7" t="n">
        <v>19289130</v>
      </c>
      <c r="J7">
        <f>IF(C9="BUY",J8+F9,J8-L8*E9)</f>
        <v/>
      </c>
      <c r="K7">
        <f>IF(C9="BUY",K8+E9,K8-E9)</f>
        <v/>
      </c>
      <c r="L7">
        <f>IF(K9&gt;0,J9/K9,0)</f>
        <v/>
      </c>
      <c r="M7">
        <f>IF(C9="SELL",F9-L8*E9,0)</f>
        <v/>
      </c>
      <c r="N7" s="2">
        <f>N8+IF(C9="SELL",M9,0)</f>
        <v/>
      </c>
    </row>
    <row r="8">
      <c r="A8" s="3" t="n">
        <v>46140.81348379629</v>
      </c>
      <c r="B8" t="inlineStr">
        <is>
          <t>PEPEUSDC</t>
        </is>
      </c>
      <c r="C8" t="inlineStr">
        <is>
          <t>BUY</t>
        </is>
      </c>
      <c r="D8" t="n">
        <v>4e-06</v>
      </c>
      <c r="E8" t="n">
        <v>340345</v>
      </c>
      <c r="F8" t="n">
        <v>1.3273</v>
      </c>
      <c r="G8" t="n">
        <v>323.33</v>
      </c>
      <c r="H8" t="n">
        <v>4e-06</v>
      </c>
      <c r="I8" t="n">
        <v>2269258</v>
      </c>
      <c r="J8">
        <f>IF(C10="BUY",J9+F10,J9-L9*E10)</f>
        <v/>
      </c>
      <c r="K8">
        <f>IF(C10="BUY",K9+E10,K9-E10)</f>
        <v/>
      </c>
      <c r="L8">
        <f>IF(K10&gt;0,J10/K10,0)</f>
        <v/>
      </c>
      <c r="M8">
        <f>IF(C10="SELL",F10-L9*E10,0)</f>
        <v/>
      </c>
      <c r="N8" s="2">
        <f>N9+IF(C10="SELL",M10,0)</f>
        <v/>
      </c>
    </row>
    <row r="9">
      <c r="A9" s="3" t="n">
        <v>46140.82395833333</v>
      </c>
      <c r="B9" t="inlineStr">
        <is>
          <t>PEPEUSDC</t>
        </is>
      </c>
      <c r="C9" t="inlineStr">
        <is>
          <t>BUY</t>
        </is>
      </c>
      <c r="D9" t="n">
        <v>4e-06</v>
      </c>
      <c r="E9" t="n">
        <v>319924</v>
      </c>
      <c r="F9" t="n">
        <v>1.2509</v>
      </c>
      <c r="G9" t="n">
        <v>303.93</v>
      </c>
      <c r="H9" t="n">
        <v>4e-06</v>
      </c>
      <c r="I9" t="n">
        <v>2589182</v>
      </c>
      <c r="J9">
        <f>IF(C11="BUY",J10+F11,J10-L10*E11)</f>
        <v/>
      </c>
      <c r="K9">
        <f>IF(C11="BUY",K10+E11,K10-E11)</f>
        <v/>
      </c>
      <c r="L9">
        <f>IF(K11&gt;0,J11/K11,0)</f>
        <v/>
      </c>
      <c r="M9">
        <f>IF(C11="SELL",F11-L10*E11,0)</f>
        <v/>
      </c>
      <c r="N9" s="2">
        <f>N10+IF(C11="SELL",M11,0)</f>
        <v/>
      </c>
    </row>
    <row r="10">
      <c r="A10" s="3" t="n">
        <v>46140.83445601852</v>
      </c>
      <c r="B10" t="inlineStr">
        <is>
          <t>PEPEUSDC</t>
        </is>
      </c>
      <c r="C10" t="inlineStr">
        <is>
          <t>BUY</t>
        </is>
      </c>
      <c r="D10" t="n">
        <v>4e-06</v>
      </c>
      <c r="E10" t="n">
        <v>300689</v>
      </c>
      <c r="F10" t="n">
        <v>1.1727</v>
      </c>
      <c r="G10" t="n">
        <v>285.65</v>
      </c>
      <c r="H10" t="n">
        <v>4e-06</v>
      </c>
      <c r="I10" t="n">
        <v>2889871</v>
      </c>
      <c r="J10">
        <f>IF(C12="BUY",J11+F12,J11-L11*E12)</f>
        <v/>
      </c>
      <c r="K10">
        <f>IF(C12="BUY",K11+E12,K11-E12)</f>
        <v/>
      </c>
      <c r="L10">
        <f>IF(K12&gt;0,J12/K12,0)</f>
        <v/>
      </c>
      <c r="M10">
        <f>IF(C12="SELL",F12-L11*E12,0)</f>
        <v/>
      </c>
      <c r="N10" s="2">
        <f>N11+IF(C12="SELL",M12,0)</f>
        <v/>
      </c>
    </row>
    <row r="11">
      <c r="A11" s="3" t="n">
        <v>46140.84493055556</v>
      </c>
      <c r="B11" t="inlineStr">
        <is>
          <t>PEPEUSDC</t>
        </is>
      </c>
      <c r="C11" t="inlineStr">
        <is>
          <t>BUY</t>
        </is>
      </c>
      <c r="D11" t="n">
        <v>4e-06</v>
      </c>
      <c r="E11" t="n">
        <v>282633</v>
      </c>
      <c r="F11" t="n">
        <v>1.1023</v>
      </c>
      <c r="G11" t="n">
        <v>268.5</v>
      </c>
      <c r="H11" t="n">
        <v>4e-06</v>
      </c>
      <c r="I11" t="n">
        <v>3172504</v>
      </c>
      <c r="J11">
        <f>IF(C33="BUY",J32+F33,J32-L32*E33)</f>
        <v/>
      </c>
      <c r="K11">
        <f>IF(C33="BUY",K32+E33,K32-E33)</f>
        <v/>
      </c>
      <c r="L11">
        <f>IF(K33&gt;0,J33/K33,0)</f>
        <v/>
      </c>
      <c r="M11">
        <f>IF(C33="SELL",F33-L32*E33,0)</f>
        <v/>
      </c>
      <c r="N11" s="2">
        <f>N32+IF(C33="SELL",M33,0)</f>
        <v/>
      </c>
    </row>
    <row r="12">
      <c r="A12" s="3" t="n">
        <v>46140.8554050926</v>
      </c>
      <c r="B12" t="inlineStr">
        <is>
          <t>PEPEUSDC</t>
        </is>
      </c>
      <c r="C12" t="inlineStr">
        <is>
          <t>BUY</t>
        </is>
      </c>
      <c r="D12" t="n">
        <v>4e-06</v>
      </c>
      <c r="E12" t="n">
        <v>266358</v>
      </c>
      <c r="F12" t="n">
        <v>1.0361</v>
      </c>
      <c r="G12" t="n">
        <v>253.04</v>
      </c>
      <c r="H12" t="n">
        <v>4e-06</v>
      </c>
      <c r="I12" t="n">
        <v>3438862</v>
      </c>
      <c r="J12">
        <f>IF(C13="BUY",J12+F13,J12-L12*E13)</f>
        <v/>
      </c>
      <c r="K12">
        <f>IF(C13="BUY",K12+E13,K12-E13)</f>
        <v/>
      </c>
      <c r="L12">
        <f>IF(K13&gt;0,J13/K13,0)</f>
        <v/>
      </c>
      <c r="M12">
        <f>IF(C13="SELL",F13-L12*E13,0)</f>
        <v/>
      </c>
      <c r="N12" s="2">
        <f>N12+IF(C13="SELL",M13,0)</f>
        <v/>
      </c>
    </row>
    <row r="13">
      <c r="A13" s="3" t="n">
        <v>46141.02277777778</v>
      </c>
      <c r="B13" t="inlineStr">
        <is>
          <t>PEPEUSDC</t>
        </is>
      </c>
      <c r="C13" t="inlineStr">
        <is>
          <t>BUY</t>
        </is>
      </c>
      <c r="D13" t="n">
        <v>4e-06</v>
      </c>
      <c r="E13" t="n">
        <v>471086</v>
      </c>
      <c r="F13" t="n">
        <v>1.8325</v>
      </c>
      <c r="G13" t="n">
        <v>447.53</v>
      </c>
      <c r="H13" t="n">
        <v>4e-06</v>
      </c>
      <c r="I13" t="n">
        <v>3909948</v>
      </c>
      <c r="J13">
        <f>IF(C14="BUY",J13+F14,J13-L13*E14)</f>
        <v/>
      </c>
      <c r="K13">
        <f>IF(C14="BUY",K13+E14,K13-E14)</f>
        <v/>
      </c>
      <c r="L13">
        <f>IF(K14&gt;0,J14/K14,0)</f>
        <v/>
      </c>
      <c r="M13">
        <f>IF(C14="SELL",F14-L13*E14,0)</f>
        <v/>
      </c>
      <c r="N13" s="2">
        <f>N13+IF(C14="SELL",M14,0)</f>
        <v/>
      </c>
    </row>
    <row r="14">
      <c r="A14" s="3" t="n">
        <v>46141.03325231482</v>
      </c>
      <c r="B14" t="inlineStr">
        <is>
          <t>PEPEUSDC</t>
        </is>
      </c>
      <c r="C14" t="inlineStr">
        <is>
          <t>BUY</t>
        </is>
      </c>
      <c r="D14" t="n">
        <v>4e-06</v>
      </c>
      <c r="E14" t="n">
        <v>414556</v>
      </c>
      <c r="F14" t="n">
        <v>1.6168</v>
      </c>
      <c r="G14" t="n">
        <v>393.83</v>
      </c>
      <c r="H14" t="n">
        <v>4e-06</v>
      </c>
      <c r="I14" t="n">
        <v>4324504</v>
      </c>
      <c r="J14">
        <f>IF(C15="BUY",J14+F15,J14-L14*E15)</f>
        <v/>
      </c>
      <c r="K14">
        <f>IF(C15="BUY",K14+E15,K14-E15)</f>
        <v/>
      </c>
      <c r="L14">
        <f>IF(K15&gt;0,J15/K15,0)</f>
        <v/>
      </c>
      <c r="M14">
        <f>IF(C15="SELL",F15-L14*E15,0)</f>
        <v/>
      </c>
      <c r="N14" s="2">
        <f>N14+IF(C15="SELL",M15,0)</f>
        <v/>
      </c>
    </row>
    <row r="15">
      <c r="A15" s="3" t="n">
        <v>46141.04373842593</v>
      </c>
      <c r="B15" t="inlineStr">
        <is>
          <t>PEPEUSDC</t>
        </is>
      </c>
      <c r="C15" t="inlineStr">
        <is>
          <t>BUY</t>
        </is>
      </c>
      <c r="D15" t="n">
        <v>4e-06</v>
      </c>
      <c r="E15" t="n">
        <v>364704</v>
      </c>
      <c r="F15" t="n">
        <v>1.4187</v>
      </c>
      <c r="G15" t="n">
        <v>346.47</v>
      </c>
      <c r="H15" t="n">
        <v>4e-06</v>
      </c>
      <c r="I15" t="n">
        <v>4689208</v>
      </c>
      <c r="J15">
        <f>IF(C16="BUY",J15+F16,J15-L15*E16)</f>
        <v/>
      </c>
      <c r="K15">
        <f>IF(C16="BUY",K15+E16,K15-E16)</f>
        <v/>
      </c>
      <c r="L15">
        <f>IF(K16&gt;0,J16/K16,0)</f>
        <v/>
      </c>
      <c r="M15">
        <f>IF(C16="SELL",F16-L15*E16,0)</f>
        <v/>
      </c>
      <c r="N15" s="2">
        <f>N15+IF(C16="SELL",M16,0)</f>
        <v/>
      </c>
    </row>
    <row r="16">
      <c r="A16" s="3" t="n">
        <v>46141.07511574074</v>
      </c>
      <c r="B16" t="inlineStr">
        <is>
          <t>PEPEUSDC</t>
        </is>
      </c>
      <c r="C16" t="inlineStr">
        <is>
          <t>BUY</t>
        </is>
      </c>
      <c r="D16" t="n">
        <v>4e-06</v>
      </c>
      <c r="E16" t="n">
        <v>284313</v>
      </c>
      <c r="F16" t="n">
        <v>1.106</v>
      </c>
      <c r="G16" t="n">
        <v>270.1</v>
      </c>
      <c r="H16" t="n">
        <v>4e-06</v>
      </c>
      <c r="I16" t="n">
        <v>4973521</v>
      </c>
      <c r="J16">
        <f>IF(C17="BUY",J16+F17,J16-L16*E17)</f>
        <v/>
      </c>
      <c r="K16">
        <f>IF(C17="BUY",K16+E17,K16-E17)</f>
        <v/>
      </c>
      <c r="L16">
        <f>IF(K17&gt;0,J17/K17,0)</f>
        <v/>
      </c>
      <c r="M16">
        <f>IF(C17="SELL",F17-L16*E17,0)</f>
        <v/>
      </c>
      <c r="N16" s="2">
        <f>N16+IF(C17="SELL",M17,0)</f>
        <v/>
      </c>
    </row>
    <row r="17">
      <c r="A17" s="3" t="n">
        <v>46142.02994212963</v>
      </c>
      <c r="B17" t="inlineStr">
        <is>
          <t>PEPEUSDC</t>
        </is>
      </c>
      <c r="C17" t="inlineStr">
        <is>
          <t>BUY</t>
        </is>
      </c>
      <c r="D17" t="n">
        <v>4e-06</v>
      </c>
      <c r="E17" t="n">
        <v>274997</v>
      </c>
      <c r="F17" t="n">
        <v>1.0697</v>
      </c>
      <c r="G17" t="n">
        <v>261.25</v>
      </c>
      <c r="H17" t="n">
        <v>4e-06</v>
      </c>
      <c r="I17" t="n">
        <v>5248518</v>
      </c>
      <c r="J17">
        <f>IF(C18="BUY",J17+F18,J17-L17*E18)</f>
        <v/>
      </c>
      <c r="K17">
        <f>IF(C18="BUY",K17+E18,K17-E18)</f>
        <v/>
      </c>
      <c r="L17">
        <f>IF(K18&gt;0,J18/K18,0)</f>
        <v/>
      </c>
      <c r="M17">
        <f>IF(C18="SELL",F18-L17*E18,0)</f>
        <v/>
      </c>
      <c r="N17" s="2">
        <f>N17+IF(C18="SELL",M18,0)</f>
        <v/>
      </c>
    </row>
    <row r="18">
      <c r="A18" s="3" t="n">
        <v>46142.02994212963</v>
      </c>
      <c r="B18" t="inlineStr">
        <is>
          <t>PEPEUSDC</t>
        </is>
      </c>
      <c r="C18" t="inlineStr">
        <is>
          <t>BUY</t>
        </is>
      </c>
      <c r="D18" t="n">
        <v>4e-06</v>
      </c>
      <c r="E18" t="n">
        <v>67735</v>
      </c>
      <c r="F18" t="n">
        <v>0.2635</v>
      </c>
      <c r="G18" t="n">
        <v>64.34999999999999</v>
      </c>
      <c r="H18" t="n">
        <v>4e-06</v>
      </c>
      <c r="I18" t="n">
        <v>5316253</v>
      </c>
      <c r="J18">
        <f>IF(C19="BUY",J18+F19,J18-L18*E19)</f>
        <v/>
      </c>
      <c r="K18">
        <f>IF(C19="BUY",K18+E19,K18-E19)</f>
        <v/>
      </c>
      <c r="L18">
        <f>IF(K19&gt;0,J19/K19,0)</f>
        <v/>
      </c>
      <c r="M18">
        <f>IF(C19="SELL",F19-L18*E19,0)</f>
        <v/>
      </c>
      <c r="N18" s="2">
        <f>N18+IF(C19="SELL",M19,0)</f>
        <v/>
      </c>
    </row>
    <row r="19">
      <c r="A19" s="3" t="n">
        <v>46142.04045138889</v>
      </c>
      <c r="B19" t="inlineStr">
        <is>
          <t>PEPEUSDC</t>
        </is>
      </c>
      <c r="C19" t="inlineStr">
        <is>
          <t>BUY</t>
        </is>
      </c>
      <c r="D19" t="n">
        <v>4e-06</v>
      </c>
      <c r="E19" t="n">
        <v>277386</v>
      </c>
      <c r="F19" t="n">
        <v>1.0901</v>
      </c>
      <c r="G19" t="n">
        <v>263.52</v>
      </c>
      <c r="H19" t="n">
        <v>4e-06</v>
      </c>
      <c r="I19" t="n">
        <v>5593639</v>
      </c>
      <c r="J19">
        <f>IF(C20="BUY",J19+F20,J19-L19*E20)</f>
        <v/>
      </c>
      <c r="K19">
        <f>IF(C20="BUY",K19+E20,K19-E20)</f>
        <v/>
      </c>
      <c r="L19">
        <f>IF(K20&gt;0,J20/K20,0)</f>
        <v/>
      </c>
      <c r="M19">
        <f>IF(C20="SELL",F20-L19*E20,0)</f>
        <v/>
      </c>
      <c r="N19" s="2">
        <f>N19+IF(C20="SELL",M20,0)</f>
        <v/>
      </c>
    </row>
    <row r="20">
      <c r="A20" s="3" t="n">
        <v>46146.85375</v>
      </c>
      <c r="B20" t="inlineStr">
        <is>
          <t>PEPEUSDC</t>
        </is>
      </c>
      <c r="C20" t="inlineStr">
        <is>
          <t>SELL</t>
        </is>
      </c>
      <c r="D20" t="n">
        <v>4e-06</v>
      </c>
      <c r="E20" t="n">
        <v>2793420</v>
      </c>
      <c r="F20" t="n">
        <v>11.1457</v>
      </c>
      <c r="G20" t="n">
        <v>0.01058846</v>
      </c>
      <c r="H20" t="n">
        <v>4e-06</v>
      </c>
      <c r="I20" t="n">
        <v>2800219</v>
      </c>
      <c r="J20">
        <f>IF(C21="BUY",J20+F21,J20-L20*E21)</f>
        <v/>
      </c>
      <c r="K20">
        <f>IF(C21="BUY",K20+E21,K20-E21)</f>
        <v/>
      </c>
      <c r="L20">
        <f>IF(K21&gt;0,J21/K21,0)</f>
        <v/>
      </c>
      <c r="M20">
        <f>IF(C21="SELL",F21-L20*E21,0)</f>
        <v/>
      </c>
      <c r="N20" s="2">
        <f>N20+IF(C21="SELL",M21,0)</f>
        <v/>
      </c>
    </row>
    <row r="21">
      <c r="A21" s="3" t="n">
        <v>46146.85388888889</v>
      </c>
      <c r="B21" t="inlineStr">
        <is>
          <t>PEPEUSDC</t>
        </is>
      </c>
      <c r="C21" t="inlineStr">
        <is>
          <t>SELL</t>
        </is>
      </c>
      <c r="D21" t="n">
        <v>4e-06</v>
      </c>
      <c r="E21" t="n">
        <v>2234736</v>
      </c>
      <c r="F21" t="n">
        <v>8.916600000000001</v>
      </c>
      <c r="G21" t="n">
        <v>0.008470770000000001</v>
      </c>
      <c r="H21" t="n">
        <v>4e-06</v>
      </c>
      <c r="I21" t="n">
        <v>565483</v>
      </c>
      <c r="J21">
        <f>IF(C22="BUY",J21+F22,J21-L21*E22)</f>
        <v/>
      </c>
      <c r="K21">
        <f>IF(C22="BUY",K21+E22,K21-E22)</f>
        <v/>
      </c>
      <c r="L21">
        <f>IF(K22&gt;0,J22/K22,0)</f>
        <v/>
      </c>
      <c r="M21">
        <f>IF(C22="SELL",F22-L21*E22,0)</f>
        <v/>
      </c>
      <c r="N21" s="2">
        <f>N21+IF(C22="SELL",M22,0)</f>
        <v/>
      </c>
    </row>
    <row r="22">
      <c r="A22" s="3" t="n">
        <v>46146.86422453704</v>
      </c>
      <c r="B22" t="inlineStr">
        <is>
          <t>PEPEUSDC</t>
        </is>
      </c>
      <c r="C22" t="inlineStr">
        <is>
          <t>SELL</t>
        </is>
      </c>
      <c r="D22" t="n">
        <v>4e-06</v>
      </c>
      <c r="E22" t="n">
        <v>279342</v>
      </c>
      <c r="F22" t="n">
        <v>1.1146</v>
      </c>
      <c r="G22" t="n">
        <v>0.00105885</v>
      </c>
      <c r="H22" t="n">
        <v>4e-06</v>
      </c>
      <c r="I22" t="n">
        <v>286141</v>
      </c>
      <c r="J22">
        <f>IF(C23="BUY",J22+F23,J22-L22*E23)</f>
        <v/>
      </c>
      <c r="K22">
        <f>IF(C23="BUY",K22+E23,K22-E23)</f>
        <v/>
      </c>
      <c r="L22">
        <f>IF(K23&gt;0,J23/K23,0)</f>
        <v/>
      </c>
      <c r="M22">
        <f>IF(C23="SELL",F23-L22*E23,0)</f>
        <v/>
      </c>
      <c r="N22" s="2">
        <f>N22+IF(C23="SELL",M23,0)</f>
        <v/>
      </c>
    </row>
    <row r="23">
      <c r="A23" s="3" t="n">
        <v>46146.88518518519</v>
      </c>
      <c r="B23" t="inlineStr">
        <is>
          <t>PEPEUSDC</t>
        </is>
      </c>
      <c r="C23" t="inlineStr">
        <is>
          <t>BUY</t>
        </is>
      </c>
      <c r="D23" t="n">
        <v>4e-06</v>
      </c>
      <c r="E23" t="n">
        <v>1268318</v>
      </c>
      <c r="F23" t="n">
        <v>5.1113</v>
      </c>
      <c r="G23" t="n">
        <v>1204.9</v>
      </c>
      <c r="H23" t="n">
        <v>4e-06</v>
      </c>
      <c r="I23" t="n">
        <v>1554459</v>
      </c>
      <c r="J23">
        <f>IF(C24="BUY",J23+F24,J23-L23*E24)</f>
        <v/>
      </c>
      <c r="K23">
        <f>IF(C24="BUY",K23+E24,K23-E24)</f>
        <v/>
      </c>
      <c r="L23">
        <f>IF(K24&gt;0,J24/K24,0)</f>
        <v/>
      </c>
      <c r="M23">
        <f>IF(C24="SELL",F24-L23*E24,0)</f>
        <v/>
      </c>
      <c r="N23" s="2">
        <f>N23+IF(C24="SELL",M24,0)</f>
        <v/>
      </c>
    </row>
    <row r="24">
      <c r="A24" s="3" t="n">
        <v>46146.89565972222</v>
      </c>
      <c r="B24" t="inlineStr">
        <is>
          <t>PEPEUSDC</t>
        </is>
      </c>
      <c r="C24" t="inlineStr">
        <is>
          <t>BUY</t>
        </is>
      </c>
      <c r="D24" t="n">
        <v>4e-06</v>
      </c>
      <c r="E24" t="n">
        <v>887900</v>
      </c>
      <c r="F24" t="n">
        <v>3.5782</v>
      </c>
      <c r="G24" t="n">
        <v>843.51</v>
      </c>
      <c r="H24" t="n">
        <v>4e-06</v>
      </c>
      <c r="I24" t="n">
        <v>2442359</v>
      </c>
      <c r="J24">
        <f>IF(C25="BUY",J24+F25,J24-L24*E25)</f>
        <v/>
      </c>
      <c r="K24">
        <f>IF(C25="BUY",K24+E25,K24-E25)</f>
        <v/>
      </c>
      <c r="L24">
        <f>IF(K25&gt;0,J25/K25,0)</f>
        <v/>
      </c>
      <c r="M24">
        <f>IF(C25="SELL",F25-L24*E25,0)</f>
        <v/>
      </c>
      <c r="N24" s="2">
        <f>N24+IF(C25="SELL",M25,0)</f>
        <v/>
      </c>
    </row>
    <row r="25">
      <c r="A25" s="3" t="n">
        <v>46146.90613425926</v>
      </c>
      <c r="B25" t="inlineStr">
        <is>
          <t>PEPEUSDC</t>
        </is>
      </c>
      <c r="C25" t="inlineStr">
        <is>
          <t>SELL</t>
        </is>
      </c>
      <c r="D25" t="n">
        <v>4e-06</v>
      </c>
      <c r="E25" t="n">
        <v>1216756</v>
      </c>
      <c r="F25" t="n">
        <v>4.867</v>
      </c>
      <c r="G25" t="n">
        <v>0.00462367</v>
      </c>
      <c r="H25" t="n">
        <v>4e-06</v>
      </c>
      <c r="I25" t="n">
        <v>1225603</v>
      </c>
      <c r="J25">
        <f>IF(C26="BUY",J25+F26,J25-L25*E26)</f>
        <v/>
      </c>
      <c r="K25">
        <f>IF(C26="BUY",K25+E26,K25-E26)</f>
        <v/>
      </c>
      <c r="L25">
        <f>IF(K26&gt;0,J26/K26,0)</f>
        <v/>
      </c>
      <c r="M25">
        <f>IF(C26="SELL",F26-L25*E26,0)</f>
        <v/>
      </c>
      <c r="N25" s="2">
        <f>N25+IF(C26="SELL",M26,0)</f>
        <v/>
      </c>
    </row>
    <row r="26">
      <c r="A26" s="3" t="n">
        <v>46146.9062037037</v>
      </c>
      <c r="B26" t="inlineStr">
        <is>
          <t>PEPEUSDC</t>
        </is>
      </c>
      <c r="C26" t="inlineStr">
        <is>
          <t>SELL</t>
        </is>
      </c>
      <c r="D26" t="n">
        <v>4e-06</v>
      </c>
      <c r="E26" t="n">
        <v>973405</v>
      </c>
      <c r="F26" t="n">
        <v>3.8936</v>
      </c>
      <c r="G26" t="n">
        <v>0.00369894</v>
      </c>
      <c r="H26" t="n">
        <v>4e-06</v>
      </c>
      <c r="I26" t="n">
        <v>252198</v>
      </c>
      <c r="J26">
        <f>IF(C27="BUY",J26+F27,J26-L26*E27)</f>
        <v/>
      </c>
      <c r="K26">
        <f>IF(C27="BUY",K26+E27,K26-E27)</f>
        <v/>
      </c>
      <c r="L26">
        <f>IF(K27&gt;0,J27/K27,0)</f>
        <v/>
      </c>
      <c r="M26">
        <f>IF(C27="SELL",F27-L26*E27,0)</f>
        <v/>
      </c>
      <c r="N26" s="2">
        <f>N26+IF(C27="SELL",M27,0)</f>
        <v/>
      </c>
    </row>
    <row r="27">
      <c r="A27" s="3" t="n">
        <v>46146.91663194444</v>
      </c>
      <c r="B27" t="inlineStr">
        <is>
          <t>PEPEUSDC</t>
        </is>
      </c>
      <c r="C27" t="inlineStr">
        <is>
          <t>BUY</t>
        </is>
      </c>
      <c r="D27" t="n">
        <v>4e-06</v>
      </c>
      <c r="E27" t="n">
        <v>940816</v>
      </c>
      <c r="F27" t="n">
        <v>3.7821</v>
      </c>
      <c r="G27" t="n">
        <v>893.78</v>
      </c>
      <c r="H27" t="n">
        <v>4e-06</v>
      </c>
      <c r="I27" t="n">
        <v>1193014</v>
      </c>
      <c r="J27">
        <f>IF(C28="BUY",J27+F28,J27-L27*E28)</f>
        <v/>
      </c>
      <c r="K27">
        <f>IF(C28="BUY",K27+E28,K27-E28)</f>
        <v/>
      </c>
      <c r="L27">
        <f>IF(K28&gt;0,J28/K28,0)</f>
        <v/>
      </c>
      <c r="M27">
        <f>IF(C28="SELL",F28-L27*E28,0)</f>
        <v/>
      </c>
      <c r="N27" s="2">
        <f>N27+IF(C28="SELL",M28,0)</f>
        <v/>
      </c>
    </row>
    <row r="28">
      <c r="A28" s="3" t="n">
        <v>46146.92712962963</v>
      </c>
      <c r="B28" t="inlineStr">
        <is>
          <t>PEPEUSDC</t>
        </is>
      </c>
      <c r="C28" t="inlineStr">
        <is>
          <t>BUY</t>
        </is>
      </c>
      <c r="D28" t="n">
        <v>4e-06</v>
      </c>
      <c r="E28" t="n">
        <v>872381</v>
      </c>
      <c r="F28" t="n">
        <v>3.5157</v>
      </c>
      <c r="G28" t="n">
        <v>828.76</v>
      </c>
      <c r="H28" t="n">
        <v>4e-06</v>
      </c>
      <c r="I28" t="n">
        <v>2065395</v>
      </c>
      <c r="J28">
        <f>IF(C29="BUY",J28+F29,J28-L28*E29)</f>
        <v/>
      </c>
      <c r="K28">
        <f>IF(C29="BUY",K28+E29,K28-E29)</f>
        <v/>
      </c>
      <c r="L28">
        <f>IF(K29&gt;0,J29/K29,0)</f>
        <v/>
      </c>
      <c r="M28">
        <f>IF(C29="SELL",F29-L28*E29,0)</f>
        <v/>
      </c>
      <c r="N28" s="2">
        <f>N28+IF(C29="SELL",M29,0)</f>
        <v/>
      </c>
    </row>
    <row r="29">
      <c r="A29" s="3" t="n">
        <v>46146.93761574074</v>
      </c>
      <c r="B29" t="inlineStr">
        <is>
          <t>PEPEUSDC</t>
        </is>
      </c>
      <c r="C29" t="inlineStr">
        <is>
          <t>BUY</t>
        </is>
      </c>
      <c r="D29" t="n">
        <v>4e-06</v>
      </c>
      <c r="E29" t="n">
        <v>780857</v>
      </c>
      <c r="F29" t="n">
        <v>3.139</v>
      </c>
      <c r="G29" t="n">
        <v>741.8099999999999</v>
      </c>
      <c r="H29" t="n">
        <v>4e-06</v>
      </c>
      <c r="I29" t="n">
        <v>2846252</v>
      </c>
      <c r="J29">
        <f>IF(C30="BUY",J29+F30,J29-L29*E30)</f>
        <v/>
      </c>
      <c r="K29">
        <f>IF(C30="BUY",K29+E30,K29-E30)</f>
        <v/>
      </c>
      <c r="L29">
        <f>IF(K30&gt;0,J30/K30,0)</f>
        <v/>
      </c>
      <c r="M29">
        <f>IF(C30="SELL",F30-L29*E30,0)</f>
        <v/>
      </c>
      <c r="N29" s="2">
        <f>N29+IF(C30="SELL",M30,0)</f>
        <v/>
      </c>
    </row>
    <row r="30">
      <c r="A30" s="3" t="n">
        <v>46146.9480787037</v>
      </c>
      <c r="B30" t="inlineStr">
        <is>
          <t>PEPEUSDC</t>
        </is>
      </c>
      <c r="C30" t="inlineStr">
        <is>
          <t>SELL</t>
        </is>
      </c>
      <c r="D30" t="n">
        <v>4e-06</v>
      </c>
      <c r="E30" t="n">
        <v>2267953</v>
      </c>
      <c r="F30" t="n">
        <v>9.049099999999999</v>
      </c>
      <c r="G30" t="n">
        <v>0.008596680000000001</v>
      </c>
      <c r="H30" t="n">
        <v>4e-06</v>
      </c>
      <c r="I30" t="n">
        <v>578299</v>
      </c>
      <c r="J30">
        <f>IF(C31="BUY",J30+F31,J30-L30*E31)</f>
        <v/>
      </c>
      <c r="K30">
        <f>IF(C31="BUY",K30+E31,K30-E31)</f>
        <v/>
      </c>
      <c r="L30">
        <f>IF(K31&gt;0,J31/K31,0)</f>
        <v/>
      </c>
      <c r="M30">
        <f>IF(C31="SELL",F31-L30*E31,0)</f>
        <v/>
      </c>
      <c r="N30" s="2">
        <f>N30+IF(C31="SELL",M31,0)</f>
        <v/>
      </c>
    </row>
    <row r="31">
      <c r="A31" s="3" t="n">
        <v>46146.95855324074</v>
      </c>
      <c r="B31" t="inlineStr">
        <is>
          <t>PEPEUSDC</t>
        </is>
      </c>
      <c r="C31" t="inlineStr">
        <is>
          <t>SELL</t>
        </is>
      </c>
      <c r="D31" t="n">
        <v>4e-06</v>
      </c>
      <c r="E31" t="n">
        <v>453590</v>
      </c>
      <c r="F31" t="n">
        <v>1.8098</v>
      </c>
      <c r="G31" t="n">
        <v>0.00171933</v>
      </c>
      <c r="H31" t="n">
        <v>4e-06</v>
      </c>
      <c r="I31" t="n">
        <v>124709</v>
      </c>
      <c r="J31">
        <f>IF(C32="BUY",J31+F32,J31-L31*E32)</f>
        <v/>
      </c>
      <c r="K31">
        <f>IF(C32="BUY",K31+E32,K31-E32)</f>
        <v/>
      </c>
      <c r="L31">
        <f>IF(K32&gt;0,J32/K32,0)</f>
        <v/>
      </c>
      <c r="M31">
        <f>IF(C32="SELL",F32-L31*E32,0)</f>
        <v/>
      </c>
      <c r="N31" s="2">
        <f>N31+IF(C32="SELL",M32,0)</f>
        <v/>
      </c>
    </row>
    <row r="32">
      <c r="A32" s="3" t="n"/>
      <c r="J32" t="n">
        <v>0</v>
      </c>
      <c r="K32" t="n">
        <v>0</v>
      </c>
      <c r="L32" t="n">
        <v>0</v>
      </c>
      <c r="M32" t="n">
        <v>0</v>
      </c>
      <c r="N32" s="2" t="n">
        <v>0</v>
      </c>
    </row>
    <row r="33" ht="15" customHeight="1" s="13" thickBot="1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6" t="n"/>
    </row>
    <row r="34"/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 Přikryl</dc:creator>
  <dcterms:created xsi:type="dcterms:W3CDTF">2026-05-10T09:52:17Z</dcterms:created>
  <dcterms:modified xsi:type="dcterms:W3CDTF">2026-05-11T07:54:48Z</dcterms:modified>
  <cp:lastModifiedBy>Jan Přikryl</cp:lastModifiedBy>
</cp:coreProperties>
</file>