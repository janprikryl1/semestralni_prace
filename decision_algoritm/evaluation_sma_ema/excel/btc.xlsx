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n.prikryl\Desktop\Semestralni projekt\decision_algoritm\evaluation_sma_ema\excel\"/>
    </mc:Choice>
  </mc:AlternateContent>
  <xr:revisionPtr revIDLastSave="0" documentId="13_ncr:1_{E1F8FC89-0479-4AC8-8E6E-F9208D18743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T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6" i="1"/>
  <c r="M5" i="1"/>
  <c r="K5" i="1"/>
  <c r="L5" i="1" s="1"/>
  <c r="J5" i="1"/>
  <c r="J6" i="1" s="1"/>
  <c r="J7" i="1" s="1"/>
  <c r="N3" i="1"/>
  <c r="M3" i="1"/>
  <c r="K3" i="1"/>
  <c r="L3" i="1" s="1"/>
  <c r="M4" i="1" s="1"/>
  <c r="J3" i="1"/>
  <c r="K6" i="1" l="1"/>
  <c r="K7" i="1" s="1"/>
  <c r="N4" i="1"/>
  <c r="N5" i="1" s="1"/>
  <c r="N6" i="1" s="1"/>
  <c r="N7" i="1" s="1"/>
  <c r="K8" i="1"/>
  <c r="L7" i="1"/>
  <c r="M8" i="1" s="1"/>
  <c r="L6" i="1"/>
  <c r="J8" i="1" l="1"/>
  <c r="L8" i="1" s="1"/>
  <c r="N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Poznamka</author>
  </authors>
  <commentList>
    <comment ref="M4" authorId="0" shapeId="0" xr:uid="{00000000-0006-0000-0000-000001000000}">
      <text>
        <r>
          <rPr>
            <sz val="11"/>
            <color theme="1"/>
            <rFont val="Aptos Narrow"/>
            <family val="2"/>
            <charset val="238"/>
            <scheme val="minor"/>
          </rPr>
          <t>Specialni vzorec: SELL zahrnoval pre-existujici BTC (0.000060).
P&amp;L pocitame jen z bot-nakoupene qty (M3=0.000070):
= (sell_price - avg_cost) x bot_qty
= (77877.29 - 78784.36) x 0.000070 = -0.0635</t>
        </r>
      </text>
    </comment>
  </commentList>
</comments>
</file>

<file path=xl/sharedStrings.xml><?xml version="1.0" encoding="utf-8"?>
<sst xmlns="http://schemas.openxmlformats.org/spreadsheetml/2006/main" count="40" uniqueCount="31">
  <si>
    <t>Datum (UTC)</t>
  </si>
  <si>
    <t>Symbol</t>
  </si>
  <si>
    <t>Směr</t>
  </si>
  <si>
    <t>Cena</t>
  </si>
  <si>
    <t>Qty</t>
  </si>
  <si>
    <t>Notional</t>
  </si>
  <si>
    <t>Fee (BNB)</t>
  </si>
  <si>
    <t xml:space="preserve">AvgCost </t>
  </si>
  <si>
    <t>QtyPo</t>
  </si>
  <si>
    <t>TotalCost_calc</t>
  </si>
  <si>
    <t>Qty_calc</t>
  </si>
  <si>
    <t>AvgCost_calc</t>
  </si>
  <si>
    <t>TradePnL_calc</t>
  </si>
  <si>
    <t>KumPnL_calc</t>
  </si>
  <si>
    <t>BTCUSDC</t>
  </si>
  <si>
    <t>BUY</t>
  </si>
  <si>
    <t>0.000070</t>
  </si>
  <si>
    <t>SELL</t>
  </si>
  <si>
    <t>Sloupec</t>
  </si>
  <si>
    <t>Co počítá</t>
  </si>
  <si>
    <t>L  TotalCost_calc</t>
  </si>
  <si>
    <t>M  Qty_calc</t>
  </si>
  <si>
    <t>N  AvgCost_calc</t>
  </si>
  <si>
    <t>O  TradePnL_calc</t>
  </si>
  <si>
    <t>P  KumPnL_calc</t>
  </si>
  <si>
    <t>Kolik USDC vloženo do aktuálně držených pozic. BUY přičte, SELL odečte průměrnou cenu za prodané množství.</t>
  </si>
  <si>
    <t>Kolik BTC aktuálně držím. BUY přičte, SELL odečte.</t>
  </si>
  <si>
    <t>Průměrná pořizovací cena = celková cena / držené množství. (klesá při levných nákupech, roste při drahých)</t>
  </si>
  <si>
    <t>Zisk/ztráta z tohoto prodeje. Prodejní příjem minus průměrná pořizovací cena * prodané množství.</t>
  </si>
  <si>
    <t>Kumulativní realizovaný P&amp;L - součet všech zisků/ztrát od začátku.</t>
  </si>
  <si>
    <t>LEGENDA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</si>
</sst>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b/>
      <sz val="11"/>
      <name val="Aptos Narrow"/>
      <family val="2"/>
    </font>
    <font>
      <b/>
      <sz val="12"/>
      <name val="Aptos Narrow"/>
      <family val="2"/>
    </font>
    <font>
      <b/>
      <sz val="10"/>
      <name val="Aptos Narrow"/>
      <family val="2"/>
    </font>
    <font>
      <sz val="10"/>
      <name val="Aptos Narrow"/>
      <family val="2"/>
    </font>
    <font>
      <i/>
      <sz val="9"/>
      <color rgb="FF595959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22" fontId="0" fillId="0" borderId="4" xfId="0" applyNumberFormat="1" applyBorder="1"/>
    <xf numFmtId="0" fontId="0" fillId="0" borderId="5" xfId="0" applyBorder="1"/>
    <xf numFmtId="22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3" fillId="3" borderId="9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0" fillId="0" borderId="4" xfId="0" applyBorder="1"/>
    <xf numFmtId="2" fontId="0" fillId="0" borderId="0" xfId="0" applyNumberFormat="1"/>
    <xf numFmtId="0" fontId="0" fillId="4" borderId="0" xfId="0" applyFill="1"/>
    <xf numFmtId="0" fontId="4" fillId="0" borderId="9" xfId="0" applyFont="1" applyBorder="1" applyAlignment="1">
      <alignment horizontal="left" vertical="top" wrapText="1"/>
    </xf>
    <xf numFmtId="0" fontId="0" fillId="0" borderId="10" xfId="0" applyBorder="1"/>
    <xf numFmtId="0" fontId="0" fillId="0" borderId="11" xfId="0" applyBorder="1"/>
    <xf numFmtId="0" fontId="3" fillId="0" borderId="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A12" sqref="A12"/>
    </sheetView>
  </sheetViews>
  <sheetFormatPr defaultRowHeight="14.4" x14ac:dyDescent="0.3"/>
  <cols>
    <col min="1" max="1" width="20.6640625" customWidth="1"/>
    <col min="4" max="4" width="14.6640625" customWidth="1"/>
    <col min="5" max="5" width="11" customWidth="1"/>
    <col min="6" max="6" width="9.5546875" customWidth="1"/>
    <col min="7" max="7" width="15" customWidth="1"/>
    <col min="8" max="8" width="14.21875" customWidth="1"/>
    <col min="9" max="9" width="10.5546875" customWidth="1"/>
    <col min="10" max="10" width="14.5546875" customWidth="1"/>
    <col min="11" max="11" width="9.21875" customWidth="1"/>
    <col min="12" max="12" width="13.21875" customWidth="1"/>
    <col min="13" max="13" width="13.33203125" customWidth="1"/>
    <col min="14" max="14" width="12.88671875" customWidth="1"/>
    <col min="15" max="15" width="11.109375" customWidth="1"/>
    <col min="16" max="16" width="10.5546875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x14ac:dyDescent="0.3">
      <c r="A2" s="16"/>
      <c r="I2" s="5"/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 s="4">
        <v>46134.904594907413</v>
      </c>
      <c r="B3" t="s">
        <v>14</v>
      </c>
      <c r="C3" t="s">
        <v>15</v>
      </c>
      <c r="D3">
        <v>78784.36</v>
      </c>
      <c r="E3">
        <v>6.9999999999999994E-5</v>
      </c>
      <c r="F3">
        <v>5.5148999999999999</v>
      </c>
      <c r="G3">
        <v>6.4400000000000002E-6</v>
      </c>
      <c r="H3">
        <v>78784.36</v>
      </c>
      <c r="I3" s="5" t="s">
        <v>16</v>
      </c>
      <c r="J3" s="11">
        <f>IF(C3="BUY",J2+F3,J2-L2*E3)</f>
        <v>5.5148999999999999</v>
      </c>
      <c r="K3" s="11">
        <f>IF(C3="BUY",K2+E3,K2-E3)</f>
        <v>6.9999999999999994E-5</v>
      </c>
      <c r="L3" s="11">
        <f>IF(K3&gt;0,J3/K3,0)</f>
        <v>78784.285714285725</v>
      </c>
      <c r="M3" s="11">
        <f>IF(C3="SELL",F3-L2*E3,0)</f>
        <v>0</v>
      </c>
      <c r="N3" s="11">
        <f>N2+IF(C3="SELL",M3,0)</f>
        <v>0</v>
      </c>
    </row>
    <row r="4" spans="1:14" x14ac:dyDescent="0.3">
      <c r="A4" s="4">
        <v>46135.808645833327</v>
      </c>
      <c r="B4" t="s">
        <v>14</v>
      </c>
      <c r="C4" t="s">
        <v>17</v>
      </c>
      <c r="D4">
        <v>77877.289999999994</v>
      </c>
      <c r="E4">
        <v>1.2999999999999999E-4</v>
      </c>
      <c r="F4">
        <v>10.124000000000001</v>
      </c>
      <c r="G4">
        <v>1.133E-5</v>
      </c>
      <c r="H4">
        <v>0</v>
      </c>
      <c r="I4" s="5">
        <v>0</v>
      </c>
      <c r="J4" s="18">
        <v>0</v>
      </c>
      <c r="K4" s="18">
        <v>0</v>
      </c>
      <c r="L4" s="18">
        <v>0</v>
      </c>
      <c r="M4" s="18">
        <f>(D4-L3)*K3</f>
        <v>-6.3489700000001176E-2</v>
      </c>
      <c r="N4" s="18">
        <f>N3+M4</f>
        <v>-6.3489700000001176E-2</v>
      </c>
    </row>
    <row r="5" spans="1:14" x14ac:dyDescent="0.3">
      <c r="A5" s="4">
        <v>46138.873055555552</v>
      </c>
      <c r="B5" t="s">
        <v>14</v>
      </c>
      <c r="C5" t="s">
        <v>15</v>
      </c>
      <c r="D5">
        <v>78266.61</v>
      </c>
      <c r="E5">
        <v>1.1E-4</v>
      </c>
      <c r="F5">
        <v>8.6092999999999993</v>
      </c>
      <c r="G5">
        <v>9.2399999999999996E-6</v>
      </c>
      <c r="H5">
        <v>78266.61</v>
      </c>
      <c r="I5" s="5">
        <v>1.1E-4</v>
      </c>
      <c r="J5" s="11">
        <f>IF(C5="BUY",J4+F5,J4-L4*E5)</f>
        <v>8.6092999999999993</v>
      </c>
      <c r="K5" s="11">
        <f>IF(C5="BUY",K4+E5,K4-E5)</f>
        <v>1.1E-4</v>
      </c>
      <c r="L5" s="11">
        <f>IF(K5&gt;0,J5/K5,0)</f>
        <v>78266.363636363632</v>
      </c>
      <c r="M5" s="11">
        <f>IF(C5="SELL",F5-L4*E5,0)</f>
        <v>0</v>
      </c>
      <c r="N5" s="11">
        <f>N4+IF(C5="SELL",M5,0)</f>
        <v>-6.3489700000001176E-2</v>
      </c>
    </row>
    <row r="6" spans="1:14" x14ac:dyDescent="0.3">
      <c r="A6" s="4">
        <v>46146.864270833343</v>
      </c>
      <c r="B6" t="s">
        <v>14</v>
      </c>
      <c r="C6" t="s">
        <v>15</v>
      </c>
      <c r="D6">
        <v>79910.75</v>
      </c>
      <c r="E6">
        <v>9.0000000000000006E-5</v>
      </c>
      <c r="F6">
        <v>7.1920000000000002</v>
      </c>
      <c r="G6">
        <v>8.6500000000000002E-6</v>
      </c>
      <c r="H6">
        <v>79006.472999999998</v>
      </c>
      <c r="I6" s="5">
        <v>2.0000000000000001E-4</v>
      </c>
      <c r="J6" s="11">
        <f>IF(C6="BUY",J5+F6,J5-L5*E6)</f>
        <v>15.801299999999999</v>
      </c>
      <c r="K6" s="11">
        <f>IF(C6="BUY",K5+E6,K5-E6)</f>
        <v>2.0000000000000001E-4</v>
      </c>
      <c r="L6" s="11">
        <f>IF(K6&gt;0,J6/K6,0)</f>
        <v>79006.5</v>
      </c>
      <c r="M6" s="11">
        <f>IF(C6="SELL",F6-L5*E6,0)</f>
        <v>0</v>
      </c>
      <c r="N6" s="11">
        <f>N5+IF(C6="SELL",M6,0)</f>
        <v>-6.3489700000001176E-2</v>
      </c>
    </row>
    <row r="7" spans="1:14" x14ac:dyDescent="0.3">
      <c r="A7" s="4">
        <v>46146.874745370369</v>
      </c>
      <c r="B7" t="s">
        <v>14</v>
      </c>
      <c r="C7" t="s">
        <v>15</v>
      </c>
      <c r="D7">
        <v>79934.880000000005</v>
      </c>
      <c r="E7">
        <v>8.0000000000000007E-5</v>
      </c>
      <c r="F7" s="17">
        <v>6.3948</v>
      </c>
      <c r="G7">
        <v>7.6899999999999992E-6</v>
      </c>
      <c r="H7">
        <v>79271.732143000001</v>
      </c>
      <c r="I7" s="5">
        <v>2.7999999999999998E-4</v>
      </c>
      <c r="J7" s="11">
        <f>IF(C7="BUY",J6+F7,J6-L6*E7)</f>
        <v>22.196100000000001</v>
      </c>
      <c r="K7" s="11">
        <f>IF(C7="BUY",K6+E7,K6-E7)</f>
        <v>2.8000000000000003E-4</v>
      </c>
      <c r="L7" s="11">
        <f>IF(K7&gt;0,J7/K7,0)</f>
        <v>79271.78571428571</v>
      </c>
      <c r="M7" s="11">
        <f>IF(C7="SELL",F7-L6*E7,0)</f>
        <v>0</v>
      </c>
      <c r="N7" s="11">
        <f>N6+IF(C7="SELL",M7,0)</f>
        <v>-6.3489700000001176E-2</v>
      </c>
    </row>
    <row r="8" spans="1:14" ht="15" customHeight="1" thickBot="1" x14ac:dyDescent="0.35">
      <c r="A8" s="6">
        <v>46147.41851851852</v>
      </c>
      <c r="B8" s="7" t="s">
        <v>14</v>
      </c>
      <c r="C8" s="7" t="s">
        <v>17</v>
      </c>
      <c r="D8" s="7">
        <v>80539.47</v>
      </c>
      <c r="E8" s="7">
        <v>2.5000000000000001E-4</v>
      </c>
      <c r="F8" s="7">
        <v>20.134899999999998</v>
      </c>
      <c r="G8" s="7">
        <v>2.2880000000000001E-5</v>
      </c>
      <c r="H8" s="7">
        <v>79271.732143000001</v>
      </c>
      <c r="I8" s="8">
        <v>3.0000000000000001E-5</v>
      </c>
      <c r="J8" s="11">
        <f>IF(C8="BUY",J7+F8,J7-L7*E8)</f>
        <v>2.3781535714285731</v>
      </c>
      <c r="K8" s="11">
        <f>IF(C8="BUY",K7+E8,K7-E8)</f>
        <v>3.0000000000000024E-5</v>
      </c>
      <c r="L8" s="11">
        <f>IF(K8&gt;0,J8/K8,0)</f>
        <v>79271.78571428571</v>
      </c>
      <c r="M8" s="11">
        <f>IF(C8="SELL",F8-L7*E8,0)</f>
        <v>0.31695357142857006</v>
      </c>
      <c r="N8" s="11">
        <f>N7+IF(C8="SELL",M8,0)</f>
        <v>0.25346387142856885</v>
      </c>
    </row>
    <row r="9" spans="1:14" x14ac:dyDescent="0.3">
      <c r="A9" s="9"/>
    </row>
    <row r="10" spans="1:14" x14ac:dyDescent="0.3">
      <c r="A10" s="9"/>
    </row>
    <row r="11" spans="1:14" ht="15.6" customHeight="1" x14ac:dyDescent="0.3">
      <c r="A11" s="23" t="s">
        <v>30</v>
      </c>
      <c r="B11" s="20"/>
      <c r="C11" s="20"/>
      <c r="D11" s="20"/>
      <c r="E11" s="20"/>
      <c r="F11" s="20"/>
      <c r="G11" s="20"/>
      <c r="H11" s="20"/>
      <c r="I11" s="21"/>
    </row>
    <row r="12" spans="1:14" x14ac:dyDescent="0.3">
      <c r="A12" s="12" t="s">
        <v>18</v>
      </c>
      <c r="B12" s="22" t="s">
        <v>19</v>
      </c>
      <c r="C12" s="20"/>
      <c r="D12" s="20"/>
      <c r="E12" s="20"/>
      <c r="F12" s="20"/>
      <c r="G12" s="20"/>
      <c r="H12" s="20"/>
      <c r="I12" s="21"/>
    </row>
    <row r="13" spans="1:14" ht="13.8" customHeight="1" x14ac:dyDescent="0.3">
      <c r="A13" s="13" t="s">
        <v>20</v>
      </c>
      <c r="B13" s="19" t="s">
        <v>25</v>
      </c>
      <c r="C13" s="20"/>
      <c r="D13" s="20"/>
      <c r="E13" s="20"/>
      <c r="F13" s="20"/>
      <c r="G13" s="20"/>
      <c r="H13" s="20"/>
      <c r="I13" s="21"/>
    </row>
    <row r="14" spans="1:14" ht="14.4" customHeight="1" x14ac:dyDescent="0.3">
      <c r="A14" s="13" t="s">
        <v>21</v>
      </c>
      <c r="B14" s="19" t="s">
        <v>26</v>
      </c>
      <c r="C14" s="20"/>
      <c r="D14" s="20"/>
      <c r="E14" s="20"/>
      <c r="F14" s="20"/>
      <c r="G14" s="20"/>
      <c r="H14" s="20"/>
      <c r="I14" s="21"/>
    </row>
    <row r="15" spans="1:14" ht="15.6" customHeight="1" x14ac:dyDescent="0.3">
      <c r="A15" s="13" t="s">
        <v>22</v>
      </c>
      <c r="B15" s="19" t="s">
        <v>27</v>
      </c>
      <c r="C15" s="20"/>
      <c r="D15" s="20"/>
      <c r="E15" s="20"/>
      <c r="F15" s="20"/>
      <c r="G15" s="20"/>
      <c r="H15" s="20"/>
      <c r="I15" s="21"/>
      <c r="J15" s="14"/>
      <c r="K15" s="14"/>
      <c r="L15" s="14"/>
    </row>
    <row r="16" spans="1:14" ht="16.2" customHeight="1" x14ac:dyDescent="0.3">
      <c r="A16" s="13" t="s">
        <v>23</v>
      </c>
      <c r="B16" s="19" t="s">
        <v>28</v>
      </c>
      <c r="C16" s="20"/>
      <c r="D16" s="20"/>
      <c r="E16" s="20"/>
      <c r="F16" s="20"/>
      <c r="G16" s="20"/>
      <c r="H16" s="20"/>
      <c r="I16" s="21"/>
    </row>
    <row r="17" spans="1:9" ht="17.399999999999999" customHeight="1" x14ac:dyDescent="0.3">
      <c r="A17" s="13" t="s">
        <v>24</v>
      </c>
      <c r="B17" s="19" t="s">
        <v>29</v>
      </c>
      <c r="C17" s="20"/>
      <c r="D17" s="20"/>
      <c r="E17" s="20"/>
      <c r="F17" s="20"/>
      <c r="G17" s="20"/>
      <c r="H17" s="20"/>
      <c r="I17" s="21"/>
    </row>
    <row r="18" spans="1:9" x14ac:dyDescent="0.3">
      <c r="A18" s="15"/>
    </row>
  </sheetData>
  <mergeCells count="7">
    <mergeCell ref="B17:I17"/>
    <mergeCell ref="B12:I12"/>
    <mergeCell ref="B13:I13"/>
    <mergeCell ref="A11:I11"/>
    <mergeCell ref="B15:I15"/>
    <mergeCell ref="B16:I16"/>
    <mergeCell ref="B14:I14"/>
  </mergeCells>
  <pageMargins left="0.7" right="0.7" top="0.78740157499999996" bottom="0.78740157499999996" header="0.3" footer="0.3"/>
  <pageSetup paperSize="9" orientation="portrait" horizontalDpi="4294967293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Přikryl</dc:creator>
  <cp:lastModifiedBy>Jan Přikryl</cp:lastModifiedBy>
  <dcterms:created xsi:type="dcterms:W3CDTF">2026-05-10T09:51:34Z</dcterms:created>
  <dcterms:modified xsi:type="dcterms:W3CDTF">2026-05-11T07:53:06Z</dcterms:modified>
</cp:coreProperties>
</file>