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DDED54A3-FE01-4211-972A-7D2CB6FB60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 s="1"/>
  <c r="L3" i="1"/>
  <c r="L4" i="1" s="1"/>
  <c r="L5" i="1" s="1"/>
  <c r="L6" i="1" s="1"/>
  <c r="K3" i="1"/>
  <c r="J3" i="1"/>
  <c r="M5" i="1" l="1"/>
  <c r="N4" i="1"/>
  <c r="N3" i="1"/>
  <c r="M6" i="1" l="1"/>
  <c r="N5" i="1"/>
  <c r="N6" i="1" l="1"/>
  <c r="M7" i="1"/>
  <c r="M8" i="1" l="1"/>
  <c r="L7" i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N8" i="1" l="1"/>
  <c r="M9" i="1"/>
  <c r="N7" i="1"/>
  <c r="M10" i="1" l="1"/>
  <c r="N9" i="1"/>
  <c r="N10" i="1" l="1"/>
  <c r="M11" i="1"/>
  <c r="N11" i="1" l="1"/>
  <c r="M12" i="1"/>
  <c r="N12" i="1" l="1"/>
  <c r="M13" i="1"/>
  <c r="M14" i="1" l="1"/>
  <c r="N13" i="1"/>
  <c r="N14" i="1" l="1"/>
  <c r="M15" i="1"/>
  <c r="M16" i="1" l="1"/>
  <c r="N15" i="1"/>
  <c r="M17" i="1" l="1"/>
  <c r="N16" i="1"/>
  <c r="M18" i="1" l="1"/>
  <c r="N17" i="1"/>
  <c r="N18" i="1" l="1"/>
  <c r="M19" i="1"/>
  <c r="M20" i="1" l="1"/>
  <c r="N19" i="1"/>
  <c r="M21" i="1" l="1"/>
  <c r="N20" i="1"/>
  <c r="L21" i="1" l="1"/>
  <c r="M22" i="1"/>
  <c r="M23" i="1" l="1"/>
  <c r="N21" i="1"/>
  <c r="M24" i="1" l="1"/>
  <c r="L22" i="1"/>
  <c r="N22" i="1" l="1"/>
  <c r="M25" i="1"/>
  <c r="M26" i="1" l="1"/>
  <c r="L23" i="1"/>
  <c r="L24" i="1" l="1"/>
  <c r="N23" i="1"/>
  <c r="M27" i="1"/>
  <c r="M28" i="1" l="1"/>
  <c r="L25" i="1"/>
  <c r="N24" i="1"/>
  <c r="N25" i="1" l="1"/>
  <c r="M29" i="1"/>
  <c r="M30" i="1" l="1"/>
  <c r="L26" i="1"/>
  <c r="N26" i="1" l="1"/>
  <c r="M31" i="1"/>
  <c r="M32" i="1" l="1"/>
  <c r="L27" i="1"/>
  <c r="L28" i="1" l="1"/>
  <c r="N27" i="1"/>
  <c r="L29" i="1" l="1"/>
  <c r="N28" i="1"/>
  <c r="L30" i="1" l="1"/>
  <c r="N29" i="1"/>
  <c r="N30" i="1" l="1"/>
  <c r="L31" i="1" l="1"/>
  <c r="N31" i="1" l="1"/>
  <c r="L32" i="1" l="1"/>
  <c r="N32" i="1" s="1"/>
  <c r="J11" i="1"/>
  <c r="J31" i="1"/>
  <c r="J3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12" i="1"/>
  <c r="K13" i="1"/>
  <c r="K14" i="1"/>
  <c r="K15" i="1"/>
  <c r="J9" i="1"/>
  <c r="K11" i="1"/>
  <c r="K6" i="1"/>
  <c r="J4" i="1"/>
  <c r="K10" i="1"/>
  <c r="J8" i="1"/>
  <c r="J7" i="1"/>
  <c r="K8" i="1"/>
  <c r="K4" i="1"/>
  <c r="K7" i="1"/>
  <c r="K5" i="1"/>
  <c r="J6" i="1"/>
  <c r="K9" i="1"/>
  <c r="J10" i="1"/>
  <c r="J5" i="1"/>
</calcChain>
</file>

<file path=xl/sharedStrings.xml><?xml version="1.0" encoding="utf-8"?>
<sst xmlns="http://schemas.openxmlformats.org/spreadsheetml/2006/main" count="74" uniqueCount="15">
  <si>
    <t>Datum (UTC)</t>
  </si>
  <si>
    <t>Symbol</t>
  </si>
  <si>
    <t>Směr</t>
  </si>
  <si>
    <t>Cena</t>
  </si>
  <si>
    <t>Qty</t>
  </si>
  <si>
    <t>Notional</t>
  </si>
  <si>
    <t>Fee (PEPE/USDC)</t>
  </si>
  <si>
    <t xml:space="preserve">AvgCost </t>
  </si>
  <si>
    <t>QtyPo</t>
  </si>
  <si>
    <t>TotalCost_calc</t>
  </si>
  <si>
    <t>Qty_calc</t>
  </si>
  <si>
    <t>AvgCost_calc</t>
  </si>
  <si>
    <t>PEPEUSDC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</si>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</sst>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22" fontId="0" fillId="0" borderId="1" xfId="0" applyNumberFormat="1" applyBorder="1"/>
    <xf numFmtId="2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/>
    <xf numFmtId="0" fontId="2" fillId="0" borderId="7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0" fontId="4" fillId="0" borderId="7" xfId="0" applyFont="1" applyBorder="1"/>
    <xf numFmtId="0" fontId="4" fillId="0" borderId="8" xfId="0" applyFont="1" applyBorder="1"/>
    <xf numFmtId="22" fontId="0" fillId="0" borderId="0" xfId="0" applyNumberFormat="1" applyBorder="1"/>
    <xf numFmtId="0" fontId="0" fillId="0" borderId="0" xfId="0" applyBorder="1"/>
    <xf numFmtId="0" fontId="1" fillId="0" borderId="0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O23" sqref="O23"/>
    </sheetView>
  </sheetViews>
  <sheetFormatPr defaultRowHeight="14.4" x14ac:dyDescent="0.3"/>
  <cols>
    <col min="1" max="1" width="18.33203125" customWidth="1"/>
    <col min="2" max="2" width="12" customWidth="1"/>
    <col min="6" max="6" width="13.33203125" customWidth="1"/>
    <col min="7" max="7" width="15.5546875" customWidth="1"/>
    <col min="8" max="8" width="11.21875" customWidth="1"/>
    <col min="9" max="9" width="12.44140625" customWidth="1"/>
    <col min="10" max="10" width="15.5546875" customWidth="1"/>
    <col min="11" max="11" width="10.33203125" customWidth="1"/>
    <col min="12" max="12" width="13.21875" customWidth="1"/>
    <col min="13" max="13" width="14.44140625" customWidth="1"/>
    <col min="14" max="14" width="13.33203125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2" t="s">
        <v>9</v>
      </c>
      <c r="M1" s="12" t="s">
        <v>10</v>
      </c>
      <c r="N1" s="13" t="s">
        <v>11</v>
      </c>
    </row>
    <row r="2" spans="1:14" x14ac:dyDescent="0.3">
      <c r="A2" s="1"/>
      <c r="B2" s="15"/>
      <c r="C2" s="15"/>
      <c r="D2" s="15"/>
      <c r="E2" s="15"/>
      <c r="F2" s="15"/>
      <c r="G2" s="15"/>
      <c r="H2" s="15"/>
      <c r="I2" s="15"/>
      <c r="J2" s="15"/>
      <c r="K2" s="15"/>
      <c r="L2" s="15">
        <v>0</v>
      </c>
      <c r="M2" s="15">
        <v>0</v>
      </c>
      <c r="N2" s="2">
        <v>0</v>
      </c>
    </row>
    <row r="3" spans="1:14" x14ac:dyDescent="0.3">
      <c r="A3" s="10">
        <v>46138.878634259258</v>
      </c>
      <c r="B3" s="16" t="s">
        <v>12</v>
      </c>
      <c r="C3" s="16" t="s">
        <v>13</v>
      </c>
      <c r="D3" s="16">
        <v>3.9999999999999998E-6</v>
      </c>
      <c r="E3" s="16">
        <v>524173</v>
      </c>
      <c r="F3" s="16">
        <v>2.06</v>
      </c>
      <c r="G3" s="16">
        <v>497.96</v>
      </c>
      <c r="H3" s="16">
        <v>3.9999999999999998E-6</v>
      </c>
      <c r="I3" s="16">
        <v>524173</v>
      </c>
      <c r="J3" s="15">
        <f>IF(C4="BUY",J2+F4,J2-L2*E4)</f>
        <v>4.7000999999999999</v>
      </c>
      <c r="K3" s="15">
        <f>IF(C4="BUY",K2+E4,K2-E4)</f>
        <v>1205148</v>
      </c>
      <c r="L3" s="15">
        <f t="shared" ref="L3:L32" si="0">IF(C3="BUY",L2+F3,L2-N2*E3)</f>
        <v>2.06</v>
      </c>
      <c r="M3" s="15">
        <f t="shared" ref="M3:M32" si="1">IF(C3="BUY",M2+E3,M2-E3)</f>
        <v>524173</v>
      </c>
      <c r="N3" s="2">
        <f t="shared" ref="N3:N32" si="2">IF(M3&gt;0,L3/M3,0)</f>
        <v>3.93000020985438E-6</v>
      </c>
    </row>
    <row r="4" spans="1:14" x14ac:dyDescent="0.3">
      <c r="A4" s="11">
        <v>46139.61482638889</v>
      </c>
      <c r="B4" s="15" t="s">
        <v>12</v>
      </c>
      <c r="C4" s="15" t="s">
        <v>13</v>
      </c>
      <c r="D4" s="15">
        <v>3.9999999999999998E-6</v>
      </c>
      <c r="E4" s="15">
        <v>1205148</v>
      </c>
      <c r="F4" s="15">
        <v>4.7000999999999999</v>
      </c>
      <c r="G4" s="15">
        <v>1144.8900000000001</v>
      </c>
      <c r="H4" s="15">
        <v>3.9999999999999998E-6</v>
      </c>
      <c r="I4" s="15">
        <v>1729321</v>
      </c>
      <c r="J4" s="15" t="str">
        <f t="shared" ref="J4:J11" ca="1" si="3">IF(C5="BUY",J4+F5,J4-L4*E5)</f>
        <v/>
      </c>
      <c r="K4" s="15" t="str">
        <f t="shared" ref="K4:K11" ca="1" si="4">IF(C5="BUY",K4+E5,K4-E5)</f>
        <v/>
      </c>
      <c r="L4" s="15">
        <f t="shared" si="0"/>
        <v>6.7600999999999996</v>
      </c>
      <c r="M4" s="15">
        <f t="shared" si="1"/>
        <v>1729321</v>
      </c>
      <c r="N4" s="2">
        <f t="shared" si="2"/>
        <v>3.9091065221552274E-6</v>
      </c>
    </row>
    <row r="5" spans="1:14" x14ac:dyDescent="0.3">
      <c r="A5" s="3">
        <v>46139.907326388893</v>
      </c>
      <c r="B5" s="15" t="s">
        <v>12</v>
      </c>
      <c r="C5" s="15" t="s">
        <v>13</v>
      </c>
      <c r="D5" s="15">
        <v>3.9999999999999998E-6</v>
      </c>
      <c r="E5" s="15">
        <v>905744</v>
      </c>
      <c r="F5" s="15">
        <v>3.4781</v>
      </c>
      <c r="G5" s="15">
        <v>860.46</v>
      </c>
      <c r="H5" s="15">
        <v>3.9999999999999998E-6</v>
      </c>
      <c r="I5" s="15">
        <v>2635065</v>
      </c>
      <c r="J5" s="15" t="str">
        <f t="shared" ca="1" si="3"/>
        <v/>
      </c>
      <c r="K5" s="15" t="str">
        <f t="shared" ca="1" si="4"/>
        <v/>
      </c>
      <c r="L5" s="15">
        <f t="shared" si="0"/>
        <v>10.238199999999999</v>
      </c>
      <c r="M5" s="15">
        <f t="shared" si="1"/>
        <v>2635065</v>
      </c>
      <c r="N5" s="2">
        <f t="shared" si="2"/>
        <v>3.8853690516173224E-6</v>
      </c>
    </row>
    <row r="6" spans="1:14" x14ac:dyDescent="0.3">
      <c r="A6" s="3">
        <v>46139.949120370373</v>
      </c>
      <c r="B6" s="15" t="s">
        <v>12</v>
      </c>
      <c r="C6" s="15" t="s">
        <v>13</v>
      </c>
      <c r="D6" s="15">
        <v>3.9999999999999998E-6</v>
      </c>
      <c r="E6" s="15">
        <v>491858</v>
      </c>
      <c r="F6" s="15">
        <v>1.9035</v>
      </c>
      <c r="G6" s="15">
        <v>467.27</v>
      </c>
      <c r="H6" s="15">
        <v>3.9999999999999998E-6</v>
      </c>
      <c r="I6" s="15">
        <v>3126923</v>
      </c>
      <c r="J6" s="15" t="str">
        <f t="shared" ca="1" si="3"/>
        <v/>
      </c>
      <c r="K6" s="15" t="str">
        <f t="shared" ca="1" si="4"/>
        <v/>
      </c>
      <c r="L6" s="15">
        <f t="shared" si="0"/>
        <v>12.141699999999998</v>
      </c>
      <c r="M6" s="15">
        <f t="shared" si="1"/>
        <v>3126923</v>
      </c>
      <c r="N6" s="2">
        <f t="shared" si="2"/>
        <v>3.8829545850665326E-6</v>
      </c>
    </row>
    <row r="7" spans="1:14" x14ac:dyDescent="0.3">
      <c r="A7" s="3">
        <v>46140.793703703697</v>
      </c>
      <c r="B7" s="15" t="s">
        <v>12</v>
      </c>
      <c r="C7" s="15" t="s">
        <v>14</v>
      </c>
      <c r="D7" s="15">
        <v>3.9999999999999998E-6</v>
      </c>
      <c r="E7" s="15">
        <v>1561976</v>
      </c>
      <c r="F7" s="15">
        <v>6.0761000000000003</v>
      </c>
      <c r="G7" s="15">
        <v>5.7722800000000003E-3</v>
      </c>
      <c r="H7" s="15">
        <v>3.9999999999999998E-6</v>
      </c>
      <c r="I7" s="15">
        <v>1564947</v>
      </c>
      <c r="J7" s="15" t="str">
        <f t="shared" ca="1" si="3"/>
        <v/>
      </c>
      <c r="K7" s="15" t="str">
        <f t="shared" ca="1" si="4"/>
        <v/>
      </c>
      <c r="L7" s="15">
        <f t="shared" si="0"/>
        <v>6.0766181290361159</v>
      </c>
      <c r="M7" s="15">
        <f t="shared" si="1"/>
        <v>1564947</v>
      </c>
      <c r="N7" s="2">
        <f t="shared" si="2"/>
        <v>3.8829545850665334E-6</v>
      </c>
    </row>
    <row r="8" spans="1:14" x14ac:dyDescent="0.3">
      <c r="A8" s="3">
        <v>46140.805613425917</v>
      </c>
      <c r="B8" s="15" t="s">
        <v>12</v>
      </c>
      <c r="C8" s="15" t="s">
        <v>13</v>
      </c>
      <c r="D8" s="15">
        <v>3.9999999999999998E-6</v>
      </c>
      <c r="E8" s="15">
        <v>363966</v>
      </c>
      <c r="F8" s="15">
        <v>1.4157999999999999</v>
      </c>
      <c r="G8" s="15">
        <v>345.77</v>
      </c>
      <c r="H8" s="15">
        <v>3.9999999999999998E-6</v>
      </c>
      <c r="I8" s="15">
        <v>19289130</v>
      </c>
      <c r="J8" s="15" t="str">
        <f t="shared" ca="1" si="3"/>
        <v/>
      </c>
      <c r="K8" s="15" t="str">
        <f t="shared" ca="1" si="4"/>
        <v/>
      </c>
      <c r="L8" s="15">
        <f t="shared" si="0"/>
        <v>7.4924181290361158</v>
      </c>
      <c r="M8" s="15">
        <f t="shared" si="1"/>
        <v>1928913</v>
      </c>
      <c r="N8" s="2">
        <f t="shared" si="2"/>
        <v>3.8842696010841938E-6</v>
      </c>
    </row>
    <row r="9" spans="1:14" x14ac:dyDescent="0.3">
      <c r="A9" s="3">
        <v>46140.813483796293</v>
      </c>
      <c r="B9" s="15" t="s">
        <v>12</v>
      </c>
      <c r="C9" s="15" t="s">
        <v>13</v>
      </c>
      <c r="D9" s="15">
        <v>3.9999999999999998E-6</v>
      </c>
      <c r="E9" s="15">
        <v>340345</v>
      </c>
      <c r="F9" s="15">
        <v>1.3272999999999999</v>
      </c>
      <c r="G9" s="15">
        <v>323.33</v>
      </c>
      <c r="H9" s="15">
        <v>3.9999999999999998E-6</v>
      </c>
      <c r="I9" s="15">
        <v>2269258</v>
      </c>
      <c r="J9" s="15" t="str">
        <f t="shared" ca="1" si="3"/>
        <v/>
      </c>
      <c r="K9" s="15" t="str">
        <f t="shared" ca="1" si="4"/>
        <v/>
      </c>
      <c r="L9" s="15">
        <f t="shared" si="0"/>
        <v>8.8197181290361151</v>
      </c>
      <c r="M9" s="15">
        <f t="shared" si="1"/>
        <v>2269258</v>
      </c>
      <c r="N9" s="2">
        <f t="shared" si="2"/>
        <v>3.8866088073881923E-6</v>
      </c>
    </row>
    <row r="10" spans="1:14" x14ac:dyDescent="0.3">
      <c r="A10" s="3">
        <v>46140.823958333327</v>
      </c>
      <c r="B10" s="15" t="s">
        <v>12</v>
      </c>
      <c r="C10" s="15" t="s">
        <v>13</v>
      </c>
      <c r="D10" s="15">
        <v>3.9999999999999998E-6</v>
      </c>
      <c r="E10" s="15">
        <v>319924</v>
      </c>
      <c r="F10" s="15">
        <v>1.2508999999999999</v>
      </c>
      <c r="G10" s="15">
        <v>303.93</v>
      </c>
      <c r="H10" s="15">
        <v>3.9999999999999998E-6</v>
      </c>
      <c r="I10" s="15">
        <v>2589182</v>
      </c>
      <c r="J10" s="15" t="str">
        <f t="shared" ca="1" si="3"/>
        <v/>
      </c>
      <c r="K10" s="15" t="str">
        <f t="shared" ca="1" si="4"/>
        <v/>
      </c>
      <c r="L10" s="15">
        <f t="shared" si="0"/>
        <v>10.070618129036115</v>
      </c>
      <c r="M10" s="15">
        <f t="shared" si="1"/>
        <v>2589182</v>
      </c>
      <c r="N10" s="2">
        <f t="shared" si="2"/>
        <v>3.8894979684842996E-6</v>
      </c>
    </row>
    <row r="11" spans="1:14" x14ac:dyDescent="0.3">
      <c r="A11" s="3">
        <v>46140.834456018521</v>
      </c>
      <c r="B11" s="15" t="s">
        <v>12</v>
      </c>
      <c r="C11" s="15" t="s">
        <v>13</v>
      </c>
      <c r="D11" s="15">
        <v>3.9999999999999998E-6</v>
      </c>
      <c r="E11" s="15">
        <v>300689</v>
      </c>
      <c r="F11" s="15">
        <v>1.1727000000000001</v>
      </c>
      <c r="G11" s="15">
        <v>285.64999999999998</v>
      </c>
      <c r="H11" s="15">
        <v>3.9999999999999998E-6</v>
      </c>
      <c r="I11" s="15">
        <v>2889871</v>
      </c>
      <c r="J11" s="15" t="str">
        <f t="shared" ca="1" si="3"/>
        <v/>
      </c>
      <c r="K11" s="15" t="str">
        <f t="shared" ca="1" si="4"/>
        <v/>
      </c>
      <c r="L11" s="15">
        <f t="shared" si="0"/>
        <v>11.243318129036115</v>
      </c>
      <c r="M11" s="15">
        <f t="shared" si="1"/>
        <v>2889871</v>
      </c>
      <c r="N11" s="2">
        <f t="shared" si="2"/>
        <v>3.890595161180591E-6</v>
      </c>
    </row>
    <row r="12" spans="1:14" x14ac:dyDescent="0.3">
      <c r="A12" s="3">
        <v>46140.844930555562</v>
      </c>
      <c r="B12" s="15" t="s">
        <v>12</v>
      </c>
      <c r="C12" s="15" t="s">
        <v>13</v>
      </c>
      <c r="D12" s="15">
        <v>3.9999999999999998E-6</v>
      </c>
      <c r="E12" s="15">
        <v>282633</v>
      </c>
      <c r="F12" s="15">
        <v>1.1023000000000001</v>
      </c>
      <c r="G12" s="15">
        <v>268.5</v>
      </c>
      <c r="H12" s="15">
        <v>3.9999999999999998E-6</v>
      </c>
      <c r="I12" s="15">
        <v>3172504</v>
      </c>
      <c r="J12" s="15" t="str">
        <f ca="1">IF(C33="BUY",J32+F33,J32-L32*E33)</f>
        <v/>
      </c>
      <c r="K12" s="15" t="str">
        <f ca="1">IF(C33="BUY",K32+E33,K32-E33)</f>
        <v/>
      </c>
      <c r="L12" s="15">
        <f t="shared" si="0"/>
        <v>12.345618129036115</v>
      </c>
      <c r="M12" s="15">
        <f t="shared" si="1"/>
        <v>3172504</v>
      </c>
      <c r="N12" s="2">
        <f t="shared" si="2"/>
        <v>3.8914428883418636E-6</v>
      </c>
    </row>
    <row r="13" spans="1:14" x14ac:dyDescent="0.3">
      <c r="A13" s="3">
        <v>46140.855405092603</v>
      </c>
      <c r="B13" s="15" t="s">
        <v>12</v>
      </c>
      <c r="C13" s="15" t="s">
        <v>13</v>
      </c>
      <c r="D13" s="15">
        <v>3.9999999999999998E-6</v>
      </c>
      <c r="E13" s="15">
        <v>266358</v>
      </c>
      <c r="F13" s="15">
        <v>1.0361</v>
      </c>
      <c r="G13" s="15">
        <v>253.04</v>
      </c>
      <c r="H13" s="15">
        <v>3.9999999999999998E-6</v>
      </c>
      <c r="I13" s="15">
        <v>3438862</v>
      </c>
      <c r="J13" s="15" t="str">
        <f t="shared" ref="J13:J32" ca="1" si="5">IF(C13="BUY",J12+F13,J12-L12*E13)</f>
        <v/>
      </c>
      <c r="K13" s="15" t="str">
        <f t="shared" ref="K13:K32" ca="1" si="6">IF(C13="BUY",K12+E13,K12-E13)</f>
        <v/>
      </c>
      <c r="L13" s="15">
        <f t="shared" si="0"/>
        <v>13.381718129036114</v>
      </c>
      <c r="M13" s="15">
        <f t="shared" si="1"/>
        <v>3438862</v>
      </c>
      <c r="N13" s="2">
        <f t="shared" si="2"/>
        <v>3.891321643333206E-6</v>
      </c>
    </row>
    <row r="14" spans="1:14" x14ac:dyDescent="0.3">
      <c r="A14" s="3">
        <v>46141.022777777784</v>
      </c>
      <c r="B14" s="15" t="s">
        <v>12</v>
      </c>
      <c r="C14" s="15" t="s">
        <v>13</v>
      </c>
      <c r="D14" s="15">
        <v>3.9999999999999998E-6</v>
      </c>
      <c r="E14" s="15">
        <v>471086</v>
      </c>
      <c r="F14" s="15">
        <v>1.8325</v>
      </c>
      <c r="G14" s="15">
        <v>447.53</v>
      </c>
      <c r="H14" s="15">
        <v>3.9999999999999998E-6</v>
      </c>
      <c r="I14" s="15">
        <v>3909948</v>
      </c>
      <c r="J14" s="15" t="str">
        <f t="shared" ca="1" si="5"/>
        <v/>
      </c>
      <c r="K14" s="15" t="str">
        <f t="shared" ca="1" si="6"/>
        <v/>
      </c>
      <c r="L14" s="15">
        <f t="shared" si="0"/>
        <v>15.214218129036114</v>
      </c>
      <c r="M14" s="15">
        <f t="shared" si="1"/>
        <v>3909948</v>
      </c>
      <c r="N14" s="2">
        <f t="shared" si="2"/>
        <v>3.8911561302186404E-6</v>
      </c>
    </row>
    <row r="15" spans="1:14" x14ac:dyDescent="0.3">
      <c r="A15" s="3">
        <v>46141.033252314817</v>
      </c>
      <c r="B15" s="15" t="s">
        <v>12</v>
      </c>
      <c r="C15" s="15" t="s">
        <v>13</v>
      </c>
      <c r="D15" s="15">
        <v>3.9999999999999998E-6</v>
      </c>
      <c r="E15" s="15">
        <v>414556</v>
      </c>
      <c r="F15" s="15">
        <v>1.6168</v>
      </c>
      <c r="G15" s="15">
        <v>393.83</v>
      </c>
      <c r="H15" s="15">
        <v>3.9999999999999998E-6</v>
      </c>
      <c r="I15" s="15">
        <v>4324504</v>
      </c>
      <c r="J15" s="15" t="str">
        <f t="shared" ca="1" si="5"/>
        <v/>
      </c>
      <c r="K15" s="15" t="str">
        <f t="shared" ca="1" si="6"/>
        <v/>
      </c>
      <c r="L15" s="15">
        <f t="shared" si="0"/>
        <v>16.831018129036114</v>
      </c>
      <c r="M15" s="15">
        <f t="shared" si="1"/>
        <v>4324504</v>
      </c>
      <c r="N15" s="2">
        <f t="shared" si="2"/>
        <v>3.8920112292730251E-6</v>
      </c>
    </row>
    <row r="16" spans="1:14" x14ac:dyDescent="0.3">
      <c r="A16" s="3">
        <v>46141.043738425928</v>
      </c>
      <c r="B16" s="15" t="s">
        <v>12</v>
      </c>
      <c r="C16" s="15" t="s">
        <v>13</v>
      </c>
      <c r="D16" s="15">
        <v>3.9999999999999998E-6</v>
      </c>
      <c r="E16" s="15">
        <v>364704</v>
      </c>
      <c r="F16" s="15">
        <v>1.4187000000000001</v>
      </c>
      <c r="G16" s="15">
        <v>346.47</v>
      </c>
      <c r="H16" s="15">
        <v>3.9999999999999998E-6</v>
      </c>
      <c r="I16" s="15">
        <v>4689208</v>
      </c>
      <c r="J16" s="15" t="str">
        <f t="shared" ca="1" si="5"/>
        <v/>
      </c>
      <c r="K16" s="15" t="str">
        <f t="shared" ca="1" si="6"/>
        <v/>
      </c>
      <c r="L16" s="15">
        <f t="shared" si="0"/>
        <v>18.249718129036115</v>
      </c>
      <c r="M16" s="15">
        <f t="shared" si="1"/>
        <v>4689208</v>
      </c>
      <c r="N16" s="2">
        <f t="shared" si="2"/>
        <v>3.8918551126407946E-6</v>
      </c>
    </row>
    <row r="17" spans="1:14" x14ac:dyDescent="0.3">
      <c r="A17" s="3">
        <v>46141.075115740743</v>
      </c>
      <c r="B17" s="15" t="s">
        <v>12</v>
      </c>
      <c r="C17" s="15" t="s">
        <v>13</v>
      </c>
      <c r="D17" s="15">
        <v>3.9999999999999998E-6</v>
      </c>
      <c r="E17" s="15">
        <v>284313</v>
      </c>
      <c r="F17" s="15">
        <v>1.1060000000000001</v>
      </c>
      <c r="G17" s="15">
        <v>270.10000000000002</v>
      </c>
      <c r="H17" s="15">
        <v>3.9999999999999998E-6</v>
      </c>
      <c r="I17" s="15">
        <v>4973521</v>
      </c>
      <c r="J17" s="15" t="str">
        <f t="shared" ca="1" si="5"/>
        <v/>
      </c>
      <c r="K17" s="15" t="str">
        <f t="shared" ca="1" si="6"/>
        <v/>
      </c>
      <c r="L17" s="15">
        <f t="shared" si="0"/>
        <v>19.355718129036116</v>
      </c>
      <c r="M17" s="15">
        <f t="shared" si="1"/>
        <v>4973521</v>
      </c>
      <c r="N17" s="2">
        <f t="shared" si="2"/>
        <v>3.8917535743864589E-6</v>
      </c>
    </row>
    <row r="18" spans="1:14" x14ac:dyDescent="0.3">
      <c r="A18" s="3">
        <v>46142.029942129629</v>
      </c>
      <c r="B18" s="15" t="s">
        <v>12</v>
      </c>
      <c r="C18" s="15" t="s">
        <v>13</v>
      </c>
      <c r="D18" s="15">
        <v>3.9999999999999998E-6</v>
      </c>
      <c r="E18" s="15">
        <v>274997</v>
      </c>
      <c r="F18" s="15">
        <v>1.0697000000000001</v>
      </c>
      <c r="G18" s="15">
        <v>261.25</v>
      </c>
      <c r="H18" s="15">
        <v>3.9999999999999998E-6</v>
      </c>
      <c r="I18" s="15">
        <v>5248518</v>
      </c>
      <c r="J18" s="15" t="str">
        <f t="shared" ca="1" si="5"/>
        <v/>
      </c>
      <c r="K18" s="15" t="str">
        <f t="shared" ca="1" si="6"/>
        <v/>
      </c>
      <c r="L18" s="15">
        <f t="shared" si="0"/>
        <v>20.425418129036117</v>
      </c>
      <c r="M18" s="15">
        <f t="shared" si="1"/>
        <v>5248518</v>
      </c>
      <c r="N18" s="2">
        <f t="shared" si="2"/>
        <v>3.8916543925420698E-6</v>
      </c>
    </row>
    <row r="19" spans="1:14" x14ac:dyDescent="0.3">
      <c r="A19" s="3">
        <v>46142.029942129629</v>
      </c>
      <c r="B19" s="15" t="s">
        <v>12</v>
      </c>
      <c r="C19" s="15" t="s">
        <v>13</v>
      </c>
      <c r="D19" s="15">
        <v>3.9999999999999998E-6</v>
      </c>
      <c r="E19" s="15">
        <v>67735</v>
      </c>
      <c r="F19" s="15">
        <v>0.26350000000000001</v>
      </c>
      <c r="G19" s="15">
        <v>64.349999999999994</v>
      </c>
      <c r="H19" s="15">
        <v>3.9999999999999998E-6</v>
      </c>
      <c r="I19" s="15">
        <v>5316253</v>
      </c>
      <c r="J19" s="15" t="str">
        <f t="shared" ca="1" si="5"/>
        <v/>
      </c>
      <c r="K19" s="15" t="str">
        <f t="shared" ca="1" si="6"/>
        <v/>
      </c>
      <c r="L19" s="15">
        <f t="shared" si="0"/>
        <v>20.688918129036118</v>
      </c>
      <c r="M19" s="15">
        <f t="shared" si="1"/>
        <v>5316253</v>
      </c>
      <c r="N19" s="2">
        <f t="shared" si="2"/>
        <v>3.8916353546447313E-6</v>
      </c>
    </row>
    <row r="20" spans="1:14" x14ac:dyDescent="0.3">
      <c r="A20" s="3">
        <v>46142.040451388893</v>
      </c>
      <c r="B20" s="15" t="s">
        <v>12</v>
      </c>
      <c r="C20" s="15" t="s">
        <v>13</v>
      </c>
      <c r="D20" s="15">
        <v>3.9999999999999998E-6</v>
      </c>
      <c r="E20" s="15">
        <v>277386</v>
      </c>
      <c r="F20" s="15">
        <v>1.0901000000000001</v>
      </c>
      <c r="G20" s="15">
        <v>263.52</v>
      </c>
      <c r="H20" s="15">
        <v>3.9999999999999998E-6</v>
      </c>
      <c r="I20" s="15">
        <v>5593639</v>
      </c>
      <c r="J20" s="15" t="str">
        <f t="shared" ca="1" si="5"/>
        <v/>
      </c>
      <c r="K20" s="15" t="str">
        <f t="shared" ca="1" si="6"/>
        <v/>
      </c>
      <c r="L20" s="15">
        <f t="shared" si="0"/>
        <v>21.779018129036118</v>
      </c>
      <c r="M20" s="15">
        <f t="shared" si="1"/>
        <v>5593639</v>
      </c>
      <c r="N20" s="2">
        <f t="shared" si="2"/>
        <v>3.8935330165275444E-6</v>
      </c>
    </row>
    <row r="21" spans="1:14" x14ac:dyDescent="0.3">
      <c r="A21" s="3">
        <v>46146.853750000002</v>
      </c>
      <c r="B21" s="15" t="s">
        <v>12</v>
      </c>
      <c r="C21" s="15" t="s">
        <v>14</v>
      </c>
      <c r="D21" s="15">
        <v>3.9999999999999998E-6</v>
      </c>
      <c r="E21" s="15">
        <v>2793420</v>
      </c>
      <c r="F21" s="15">
        <v>11.1457</v>
      </c>
      <c r="G21" s="15">
        <v>1.0588459999999999E-2</v>
      </c>
      <c r="H21" s="15">
        <v>3.9999999999999998E-6</v>
      </c>
      <c r="I21" s="15">
        <v>2800219</v>
      </c>
      <c r="J21" s="15" t="str">
        <f t="shared" ca="1" si="5"/>
        <v/>
      </c>
      <c r="K21" s="15" t="str">
        <f t="shared" ca="1" si="6"/>
        <v/>
      </c>
      <c r="L21" s="15">
        <f t="shared" si="0"/>
        <v>10.902745130007744</v>
      </c>
      <c r="M21" s="15">
        <f t="shared" si="1"/>
        <v>2800219</v>
      </c>
      <c r="N21" s="2">
        <f t="shared" si="2"/>
        <v>3.8935330165275444E-6</v>
      </c>
    </row>
    <row r="22" spans="1:14" x14ac:dyDescent="0.3">
      <c r="A22" s="3">
        <v>46146.853888888887</v>
      </c>
      <c r="B22" s="15" t="s">
        <v>12</v>
      </c>
      <c r="C22" s="15" t="s">
        <v>14</v>
      </c>
      <c r="D22" s="15">
        <v>3.9999999999999998E-6</v>
      </c>
      <c r="E22" s="15">
        <v>2234736</v>
      </c>
      <c r="F22" s="15">
        <v>8.9166000000000007</v>
      </c>
      <c r="G22" s="15">
        <v>8.4707700000000007E-3</v>
      </c>
      <c r="H22" s="15">
        <v>3.9999999999999998E-6</v>
      </c>
      <c r="I22" s="15">
        <v>565483</v>
      </c>
      <c r="J22" s="15" t="str">
        <f t="shared" ca="1" si="5"/>
        <v/>
      </c>
      <c r="K22" s="15" t="str">
        <f t="shared" ca="1" si="6"/>
        <v/>
      </c>
      <c r="L22" s="15">
        <f t="shared" si="0"/>
        <v>2.2017267307850457</v>
      </c>
      <c r="M22" s="15">
        <f t="shared" si="1"/>
        <v>565483</v>
      </c>
      <c r="N22" s="2">
        <f t="shared" si="2"/>
        <v>3.8935330165275452E-6</v>
      </c>
    </row>
    <row r="23" spans="1:14" x14ac:dyDescent="0.3">
      <c r="A23" s="3">
        <v>46146.864224537043</v>
      </c>
      <c r="B23" s="15" t="s">
        <v>12</v>
      </c>
      <c r="C23" s="15" t="s">
        <v>14</v>
      </c>
      <c r="D23" s="15">
        <v>3.9999999999999998E-6</v>
      </c>
      <c r="E23" s="15">
        <v>279342</v>
      </c>
      <c r="F23" s="15">
        <v>1.1146</v>
      </c>
      <c r="G23" s="15">
        <v>1.0588500000000001E-3</v>
      </c>
      <c r="H23" s="15">
        <v>3.9999999999999998E-6</v>
      </c>
      <c r="I23" s="15">
        <v>286141</v>
      </c>
      <c r="J23" s="15" t="str">
        <f t="shared" ca="1" si="5"/>
        <v/>
      </c>
      <c r="K23" s="15" t="str">
        <f t="shared" ca="1" si="6"/>
        <v/>
      </c>
      <c r="L23" s="15">
        <f t="shared" si="0"/>
        <v>1.1140994308822081</v>
      </c>
      <c r="M23" s="15">
        <f t="shared" si="1"/>
        <v>286141</v>
      </c>
      <c r="N23" s="2">
        <f t="shared" si="2"/>
        <v>3.8935330165275444E-6</v>
      </c>
    </row>
    <row r="24" spans="1:14" x14ac:dyDescent="0.3">
      <c r="A24" s="3">
        <v>46146.885185185187</v>
      </c>
      <c r="B24" s="15" t="s">
        <v>12</v>
      </c>
      <c r="C24" s="15" t="s">
        <v>13</v>
      </c>
      <c r="D24" s="15">
        <v>3.9999999999999998E-6</v>
      </c>
      <c r="E24" s="15">
        <v>1268318</v>
      </c>
      <c r="F24" s="15">
        <v>5.1113</v>
      </c>
      <c r="G24" s="15">
        <v>1204.9000000000001</v>
      </c>
      <c r="H24" s="15">
        <v>3.9999999999999998E-6</v>
      </c>
      <c r="I24" s="15">
        <v>1554459</v>
      </c>
      <c r="J24" s="15" t="str">
        <f t="shared" ca="1" si="5"/>
        <v/>
      </c>
      <c r="K24" s="15" t="str">
        <f t="shared" ca="1" si="6"/>
        <v/>
      </c>
      <c r="L24" s="15">
        <f t="shared" si="0"/>
        <v>6.2253994308822076</v>
      </c>
      <c r="M24" s="15">
        <f t="shared" si="1"/>
        <v>1554459</v>
      </c>
      <c r="N24" s="2">
        <f t="shared" si="2"/>
        <v>4.0048656354926102E-6</v>
      </c>
    </row>
    <row r="25" spans="1:14" x14ac:dyDescent="0.3">
      <c r="A25" s="3">
        <v>46146.89565972222</v>
      </c>
      <c r="B25" s="15" t="s">
        <v>12</v>
      </c>
      <c r="C25" s="15" t="s">
        <v>13</v>
      </c>
      <c r="D25" s="15">
        <v>3.9999999999999998E-6</v>
      </c>
      <c r="E25" s="15">
        <v>887900</v>
      </c>
      <c r="F25" s="15">
        <v>3.5781999999999998</v>
      </c>
      <c r="G25" s="15">
        <v>843.51</v>
      </c>
      <c r="H25" s="15">
        <v>3.9999999999999998E-6</v>
      </c>
      <c r="I25" s="15">
        <v>2442359</v>
      </c>
      <c r="J25" s="15" t="str">
        <f t="shared" ca="1" si="5"/>
        <v/>
      </c>
      <c r="K25" s="15" t="str">
        <f t="shared" ca="1" si="6"/>
        <v/>
      </c>
      <c r="L25" s="15">
        <f t="shared" si="0"/>
        <v>9.8035994308822083</v>
      </c>
      <c r="M25" s="15">
        <f t="shared" si="1"/>
        <v>2442359</v>
      </c>
      <c r="N25" s="2">
        <f t="shared" si="2"/>
        <v>4.0139878825685369E-6</v>
      </c>
    </row>
    <row r="26" spans="1:14" x14ac:dyDescent="0.3">
      <c r="A26" s="3">
        <v>46146.906134259261</v>
      </c>
      <c r="B26" s="15" t="s">
        <v>12</v>
      </c>
      <c r="C26" s="15" t="s">
        <v>14</v>
      </c>
      <c r="D26" s="15">
        <v>3.9999999999999998E-6</v>
      </c>
      <c r="E26" s="15">
        <v>1216756</v>
      </c>
      <c r="F26" s="15">
        <v>4.867</v>
      </c>
      <c r="G26" s="15">
        <v>4.6236699999999999E-3</v>
      </c>
      <c r="H26" s="15">
        <v>3.9999999999999998E-6</v>
      </c>
      <c r="I26" s="15">
        <v>1225603</v>
      </c>
      <c r="J26" s="15" t="str">
        <f t="shared" ca="1" si="5"/>
        <v/>
      </c>
      <c r="K26" s="15" t="str">
        <f t="shared" ca="1" si="6"/>
        <v/>
      </c>
      <c r="L26" s="15">
        <f t="shared" si="0"/>
        <v>4.9195555908396456</v>
      </c>
      <c r="M26" s="15">
        <f t="shared" si="1"/>
        <v>1225603</v>
      </c>
      <c r="N26" s="2">
        <f t="shared" si="2"/>
        <v>4.013987882568536E-6</v>
      </c>
    </row>
    <row r="27" spans="1:14" x14ac:dyDescent="0.3">
      <c r="A27" s="3">
        <v>46146.9062037037</v>
      </c>
      <c r="B27" s="15" t="s">
        <v>12</v>
      </c>
      <c r="C27" s="15" t="s">
        <v>14</v>
      </c>
      <c r="D27" s="15">
        <v>3.9999999999999998E-6</v>
      </c>
      <c r="E27" s="15">
        <v>973405</v>
      </c>
      <c r="F27" s="15">
        <v>3.8936000000000002</v>
      </c>
      <c r="G27" s="15">
        <v>3.69894E-3</v>
      </c>
      <c r="H27" s="15">
        <v>3.9999999999999998E-6</v>
      </c>
      <c r="I27" s="15">
        <v>252198</v>
      </c>
      <c r="J27" s="15" t="str">
        <f t="shared" ca="1" si="5"/>
        <v/>
      </c>
      <c r="K27" s="15" t="str">
        <f t="shared" ca="1" si="6"/>
        <v/>
      </c>
      <c r="L27" s="15">
        <f t="shared" si="0"/>
        <v>1.0123197160080197</v>
      </c>
      <c r="M27" s="15">
        <f t="shared" si="1"/>
        <v>252198</v>
      </c>
      <c r="N27" s="2">
        <f t="shared" si="2"/>
        <v>4.013987882568536E-6</v>
      </c>
    </row>
    <row r="28" spans="1:14" x14ac:dyDescent="0.3">
      <c r="A28" s="3">
        <v>46146.916631944441</v>
      </c>
      <c r="B28" s="15" t="s">
        <v>12</v>
      </c>
      <c r="C28" s="15" t="s">
        <v>13</v>
      </c>
      <c r="D28" s="15">
        <v>3.9999999999999998E-6</v>
      </c>
      <c r="E28" s="15">
        <v>940816</v>
      </c>
      <c r="F28" s="15">
        <v>3.7820999999999998</v>
      </c>
      <c r="G28" s="15">
        <v>893.78</v>
      </c>
      <c r="H28" s="15">
        <v>3.9999999999999998E-6</v>
      </c>
      <c r="I28" s="15">
        <v>1193014</v>
      </c>
      <c r="J28" s="15" t="str">
        <f t="shared" ca="1" si="5"/>
        <v/>
      </c>
      <c r="K28" s="15" t="str">
        <f t="shared" ca="1" si="6"/>
        <v/>
      </c>
      <c r="L28" s="15">
        <f t="shared" si="0"/>
        <v>4.7944197160080195</v>
      </c>
      <c r="M28" s="15">
        <f t="shared" si="1"/>
        <v>1193014</v>
      </c>
      <c r="N28" s="2">
        <f t="shared" si="2"/>
        <v>4.0187455604108748E-6</v>
      </c>
    </row>
    <row r="29" spans="1:14" x14ac:dyDescent="0.3">
      <c r="A29" s="3">
        <v>46146.927129629628</v>
      </c>
      <c r="B29" s="15" t="s">
        <v>12</v>
      </c>
      <c r="C29" s="15" t="s">
        <v>13</v>
      </c>
      <c r="D29" s="15">
        <v>3.9999999999999998E-6</v>
      </c>
      <c r="E29" s="15">
        <v>872381</v>
      </c>
      <c r="F29" s="15">
        <v>3.5156999999999998</v>
      </c>
      <c r="G29" s="15">
        <v>828.76</v>
      </c>
      <c r="H29" s="15">
        <v>3.9999999999999998E-6</v>
      </c>
      <c r="I29" s="15">
        <v>2065395</v>
      </c>
      <c r="J29" s="15" t="str">
        <f t="shared" ca="1" si="5"/>
        <v/>
      </c>
      <c r="K29" s="15" t="str">
        <f t="shared" ca="1" si="6"/>
        <v/>
      </c>
      <c r="L29" s="15">
        <f t="shared" si="0"/>
        <v>8.3101197160080194</v>
      </c>
      <c r="M29" s="15">
        <f t="shared" si="1"/>
        <v>2065395</v>
      </c>
      <c r="N29" s="2">
        <f t="shared" si="2"/>
        <v>4.0235014203133151E-6</v>
      </c>
    </row>
    <row r="30" spans="1:14" x14ac:dyDescent="0.3">
      <c r="A30" s="3">
        <v>46146.937615740739</v>
      </c>
      <c r="B30" s="15" t="s">
        <v>12</v>
      </c>
      <c r="C30" s="15" t="s">
        <v>13</v>
      </c>
      <c r="D30" s="15">
        <v>3.9999999999999998E-6</v>
      </c>
      <c r="E30" s="15">
        <v>780857</v>
      </c>
      <c r="F30" s="15">
        <v>3.1389999999999998</v>
      </c>
      <c r="G30" s="15">
        <v>741.81</v>
      </c>
      <c r="H30" s="15">
        <v>3.9999999999999998E-6</v>
      </c>
      <c r="I30" s="15">
        <v>2846252</v>
      </c>
      <c r="J30" s="15" t="str">
        <f t="shared" ca="1" si="5"/>
        <v/>
      </c>
      <c r="K30" s="15" t="str">
        <f t="shared" ca="1" si="6"/>
        <v/>
      </c>
      <c r="L30" s="15">
        <f t="shared" si="0"/>
        <v>11.449119716008019</v>
      </c>
      <c r="M30" s="15">
        <f t="shared" si="1"/>
        <v>2846252</v>
      </c>
      <c r="N30" s="2">
        <f t="shared" si="2"/>
        <v>4.0225249612500994E-6</v>
      </c>
    </row>
    <row r="31" spans="1:14" x14ac:dyDescent="0.3">
      <c r="A31" s="3">
        <v>46146.948078703703</v>
      </c>
      <c r="B31" s="15" t="s">
        <v>12</v>
      </c>
      <c r="C31" s="15" t="s">
        <v>14</v>
      </c>
      <c r="D31" s="15">
        <v>3.9999999999999998E-6</v>
      </c>
      <c r="E31" s="15">
        <v>2267953</v>
      </c>
      <c r="F31" s="15">
        <v>9.0490999999999993</v>
      </c>
      <c r="G31" s="15">
        <v>8.5966800000000006E-3</v>
      </c>
      <c r="H31" s="15">
        <v>3.9999999999999998E-6</v>
      </c>
      <c r="I31" s="15">
        <v>578299</v>
      </c>
      <c r="J31" s="15" t="str">
        <f t="shared" ca="1" si="5"/>
        <v/>
      </c>
      <c r="K31" s="15" t="str">
        <f t="shared" ca="1" si="6"/>
        <v/>
      </c>
      <c r="L31" s="15">
        <f t="shared" si="0"/>
        <v>2.3262221625659727</v>
      </c>
      <c r="M31" s="15">
        <f t="shared" si="1"/>
        <v>578299</v>
      </c>
      <c r="N31" s="2">
        <f t="shared" si="2"/>
        <v>4.022524961250102E-6</v>
      </c>
    </row>
    <row r="32" spans="1:14" x14ac:dyDescent="0.3">
      <c r="A32" s="3">
        <v>46146.958553240736</v>
      </c>
      <c r="B32" s="15" t="s">
        <v>12</v>
      </c>
      <c r="C32" s="15" t="s">
        <v>14</v>
      </c>
      <c r="D32" s="15">
        <v>3.9999999999999998E-6</v>
      </c>
      <c r="E32" s="15">
        <v>453590</v>
      </c>
      <c r="F32" s="15">
        <v>1.8098000000000001</v>
      </c>
      <c r="G32" s="15">
        <v>1.71933E-3</v>
      </c>
      <c r="H32" s="15">
        <v>3.9999999999999998E-6</v>
      </c>
      <c r="I32" s="15">
        <v>124709</v>
      </c>
      <c r="J32" s="15" t="str">
        <f t="shared" ca="1" si="5"/>
        <v/>
      </c>
      <c r="K32" s="15" t="str">
        <f t="shared" ca="1" si="6"/>
        <v/>
      </c>
      <c r="L32" s="15">
        <f t="shared" si="0"/>
        <v>0.50164506539253884</v>
      </c>
      <c r="M32" s="15">
        <f t="shared" si="1"/>
        <v>124709</v>
      </c>
      <c r="N32" s="2">
        <f t="shared" si="2"/>
        <v>4.0225249612501011E-6</v>
      </c>
    </row>
    <row r="33" spans="1:14" ht="15" customHeight="1" thickBot="1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</row>
    <row r="34" spans="1:14" x14ac:dyDescent="0.3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PEPE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2026-05-10T09:52:17Z</dcterms:created>
  <dcterms:modified xsi:type="dcterms:W3CDTF">2026-05-11T07:57:16Z</dcterms:modified>
</cp:coreProperties>
</file>