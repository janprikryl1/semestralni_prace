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.prikryl\Desktop\Semestralni projekt\decision_algoritm\evaluation_sma_ema\excel\"/>
    </mc:Choice>
  </mc:AlternateContent>
  <xr:revisionPtr revIDLastSave="0" documentId="13_ncr:1_{1E3B9693-BCAA-41E7-AEE1-A52D4AA269AA}" xr6:coauthVersionLast="47" xr6:coauthVersionMax="47" xr10:uidLastSave="{00000000-0000-0000-0000-000000000000}"/>
  <bookViews>
    <workbookView xWindow="-28920" yWindow="-120" windowWidth="29040" windowHeight="15720" activeTab="1" xr2:uid="{CD66AE2C-2F53-4AFD-9072-01776C45F51E}"/>
  </bookViews>
  <sheets>
    <sheet name="Shrnuti" sheetId="1" r:id="rId1"/>
    <sheet name="BTC" sheetId="2" r:id="rId2"/>
    <sheet name="BCH" sheetId="3" r:id="rId3"/>
    <sheet name="SHIBA" sheetId="5" r:id="rId4"/>
    <sheet name="TRX" sheetId="6" r:id="rId5"/>
    <sheet name="XRP" sheetId="7" r:id="rId6"/>
    <sheet name="PEPE" sheetId="8" r:id="rId7"/>
    <sheet name="BNB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J3" i="8"/>
  <c r="K3" i="8"/>
  <c r="L3" i="8"/>
  <c r="M3" i="8"/>
  <c r="N3" i="8"/>
  <c r="L4" i="8"/>
  <c r="M4" i="8"/>
  <c r="N4" i="8"/>
  <c r="L5" i="8"/>
  <c r="L6" i="8" s="1"/>
  <c r="M5" i="8"/>
  <c r="M6" i="8" s="1"/>
  <c r="N5" i="8"/>
  <c r="J4" i="7"/>
  <c r="K4" i="7"/>
  <c r="L4" i="7" s="1"/>
  <c r="M4" i="7"/>
  <c r="N4" i="7"/>
  <c r="K5" i="7"/>
  <c r="K6" i="7"/>
  <c r="J4" i="6"/>
  <c r="K4" i="6"/>
  <c r="L4" i="6" s="1"/>
  <c r="M4" i="6"/>
  <c r="N4" i="6"/>
  <c r="J5" i="6"/>
  <c r="K5" i="6"/>
  <c r="L5" i="6"/>
  <c r="M5" i="6"/>
  <c r="N5" i="6"/>
  <c r="J6" i="6"/>
  <c r="K6" i="6"/>
  <c r="K7" i="6" s="1"/>
  <c r="L6" i="6"/>
  <c r="M6" i="6"/>
  <c r="N6" i="6"/>
  <c r="N7" i="6" s="1"/>
  <c r="J7" i="6"/>
  <c r="M7" i="6"/>
  <c r="M9" i="6"/>
  <c r="M10" i="6"/>
  <c r="M11" i="6"/>
  <c r="M12" i="6"/>
  <c r="J4" i="5"/>
  <c r="K4" i="5"/>
  <c r="L4" i="5" s="1"/>
  <c r="M4" i="5"/>
  <c r="N4" i="5"/>
  <c r="J5" i="5"/>
  <c r="K5" i="5"/>
  <c r="L5" i="5"/>
  <c r="M5" i="5"/>
  <c r="N5" i="5"/>
  <c r="J6" i="5"/>
  <c r="K6" i="5"/>
  <c r="K7" i="5" s="1"/>
  <c r="L6" i="5"/>
  <c r="M6" i="5"/>
  <c r="N6" i="5"/>
  <c r="N7" i="5" s="1"/>
  <c r="N8" i="5" s="1"/>
  <c r="N9" i="5" s="1"/>
  <c r="N10" i="5" s="1"/>
  <c r="N11" i="5" s="1"/>
  <c r="N12" i="5" s="1"/>
  <c r="N13" i="5" s="1"/>
  <c r="N14" i="5" s="1"/>
  <c r="N15" i="5" s="1"/>
  <c r="N16" i="5" s="1"/>
  <c r="N17" i="5" s="1"/>
  <c r="N18" i="5" s="1"/>
  <c r="N19" i="5" s="1"/>
  <c r="N20" i="5" s="1"/>
  <c r="N21" i="5" s="1"/>
  <c r="N22" i="5" s="1"/>
  <c r="J7" i="5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7" i="5"/>
  <c r="J4" i="3"/>
  <c r="K4" i="3"/>
  <c r="L4" i="3" s="1"/>
  <c r="M4" i="3"/>
  <c r="N4" i="3"/>
  <c r="K5" i="3"/>
  <c r="J3" i="2"/>
  <c r="K3" i="2"/>
  <c r="L3" i="2" s="1"/>
  <c r="M4" i="2" s="1"/>
  <c r="N4" i="2" s="1"/>
  <c r="N5" i="2" s="1"/>
  <c r="N6" i="2" s="1"/>
  <c r="N7" i="2" s="1"/>
  <c r="M3" i="2"/>
  <c r="N3" i="2"/>
  <c r="J5" i="2"/>
  <c r="K5" i="2"/>
  <c r="L5" i="2" s="1"/>
  <c r="M5" i="2"/>
  <c r="J6" i="2"/>
  <c r="J7" i="2" s="1"/>
  <c r="K6" i="2"/>
  <c r="K7" i="2" s="1"/>
  <c r="L6" i="2"/>
  <c r="M6" i="2"/>
  <c r="M7" i="2"/>
  <c r="B11" i="1"/>
  <c r="N6" i="8" l="1"/>
  <c r="M7" i="8"/>
  <c r="L7" i="8"/>
  <c r="L8" i="8" s="1"/>
  <c r="L9" i="8" s="1"/>
  <c r="L10" i="8" s="1"/>
  <c r="L11" i="8" s="1"/>
  <c r="L12" i="8" s="1"/>
  <c r="L13" i="8" s="1"/>
  <c r="L14" i="8" s="1"/>
  <c r="L15" i="8" s="1"/>
  <c r="L16" i="8" s="1"/>
  <c r="L17" i="8" s="1"/>
  <c r="L18" i="8" s="1"/>
  <c r="L19" i="8" s="1"/>
  <c r="L20" i="8" s="1"/>
  <c r="M5" i="7"/>
  <c r="N5" i="7" s="1"/>
  <c r="J5" i="7"/>
  <c r="J8" i="6"/>
  <c r="J9" i="6" s="1"/>
  <c r="J10" i="6" s="1"/>
  <c r="J11" i="6" s="1"/>
  <c r="J12" i="6" s="1"/>
  <c r="K8" i="6"/>
  <c r="L7" i="6"/>
  <c r="M8" i="6" s="1"/>
  <c r="N8" i="6"/>
  <c r="N9" i="6" s="1"/>
  <c r="N10" i="6" s="1"/>
  <c r="N11" i="6" s="1"/>
  <c r="N12" i="6" s="1"/>
  <c r="L7" i="5"/>
  <c r="K8" i="5"/>
  <c r="M5" i="3"/>
  <c r="N5" i="3" s="1"/>
  <c r="J5" i="3"/>
  <c r="L5" i="3" s="1"/>
  <c r="L7" i="2"/>
  <c r="M8" i="2" s="1"/>
  <c r="K8" i="2"/>
  <c r="L8" i="2" s="1"/>
  <c r="J8" i="2"/>
  <c r="N8" i="2"/>
  <c r="N7" i="8" l="1"/>
  <c r="M8" i="8"/>
  <c r="N6" i="7"/>
  <c r="L5" i="7"/>
  <c r="M6" i="7" s="1"/>
  <c r="J6" i="7"/>
  <c r="L6" i="7" s="1"/>
  <c r="K9" i="6"/>
  <c r="L8" i="6"/>
  <c r="K9" i="5"/>
  <c r="L8" i="5"/>
  <c r="M9" i="8" l="1"/>
  <c r="N8" i="8"/>
  <c r="L9" i="6"/>
  <c r="K10" i="6"/>
  <c r="L9" i="5"/>
  <c r="K10" i="5"/>
  <c r="N9" i="8" l="1"/>
  <c r="M10" i="8"/>
  <c r="L10" i="6"/>
  <c r="K11" i="6"/>
  <c r="L10" i="5"/>
  <c r="K11" i="5"/>
  <c r="M11" i="8" l="1"/>
  <c r="N10" i="8"/>
  <c r="L11" i="6"/>
  <c r="K12" i="6"/>
  <c r="L11" i="5"/>
  <c r="K12" i="5"/>
  <c r="M12" i="8" l="1"/>
  <c r="N11" i="8"/>
  <c r="K13" i="6"/>
  <c r="L12" i="6"/>
  <c r="L12" i="5"/>
  <c r="K13" i="5"/>
  <c r="N12" i="8" l="1"/>
  <c r="M13" i="8"/>
  <c r="M13" i="6"/>
  <c r="N13" i="6" s="1"/>
  <c r="J13" i="6"/>
  <c r="K14" i="6"/>
  <c r="L13" i="6"/>
  <c r="M14" i="6" s="1"/>
  <c r="K14" i="5"/>
  <c r="L13" i="5"/>
  <c r="M14" i="8" l="1"/>
  <c r="N13" i="8"/>
  <c r="J14" i="6"/>
  <c r="L14" i="6" s="1"/>
  <c r="N14" i="6"/>
  <c r="K15" i="5"/>
  <c r="L14" i="5"/>
  <c r="M15" i="8" l="1"/>
  <c r="N14" i="8"/>
  <c r="L15" i="5"/>
  <c r="K16" i="5"/>
  <c r="N15" i="8" l="1"/>
  <c r="M16" i="8"/>
  <c r="L16" i="5"/>
  <c r="K17" i="5"/>
  <c r="M17" i="8" l="1"/>
  <c r="N16" i="8"/>
  <c r="K18" i="5"/>
  <c r="L17" i="5"/>
  <c r="M18" i="8" l="1"/>
  <c r="N17" i="8"/>
  <c r="K19" i="5"/>
  <c r="L18" i="5"/>
  <c r="M19" i="8" l="1"/>
  <c r="N18" i="8"/>
  <c r="K20" i="5"/>
  <c r="L19" i="5"/>
  <c r="N19" i="8" l="1"/>
  <c r="M20" i="8"/>
  <c r="L20" i="5"/>
  <c r="K21" i="5"/>
  <c r="M21" i="8" l="1"/>
  <c r="N20" i="8"/>
  <c r="L21" i="8" s="1"/>
  <c r="K22" i="5"/>
  <c r="L21" i="5"/>
  <c r="M22" i="8" l="1"/>
  <c r="N21" i="8"/>
  <c r="L22" i="8" s="1"/>
  <c r="K23" i="5"/>
  <c r="L22" i="5"/>
  <c r="L23" i="8" l="1"/>
  <c r="L24" i="8" s="1"/>
  <c r="L25" i="8" s="1"/>
  <c r="N22" i="8"/>
  <c r="M23" i="8"/>
  <c r="M23" i="5"/>
  <c r="N23" i="5" s="1"/>
  <c r="J23" i="5"/>
  <c r="L23" i="5"/>
  <c r="M24" i="5" s="1"/>
  <c r="K24" i="5"/>
  <c r="N23" i="8" l="1"/>
  <c r="M24" i="8"/>
  <c r="K25" i="5"/>
  <c r="J24" i="5"/>
  <c r="N24" i="5"/>
  <c r="M25" i="8" l="1"/>
  <c r="N24" i="8"/>
  <c r="K26" i="5"/>
  <c r="L24" i="5"/>
  <c r="M25" i="5" s="1"/>
  <c r="N25" i="5" s="1"/>
  <c r="N25" i="8" l="1"/>
  <c r="L26" i="8" s="1"/>
  <c r="M26" i="8"/>
  <c r="K27" i="5"/>
  <c r="J25" i="5"/>
  <c r="M27" i="8" l="1"/>
  <c r="N26" i="8"/>
  <c r="L27" i="8" s="1"/>
  <c r="L28" i="8" s="1"/>
  <c r="L29" i="8" s="1"/>
  <c r="L30" i="8" s="1"/>
  <c r="K28" i="5"/>
  <c r="L25" i="5"/>
  <c r="M26" i="5" s="1"/>
  <c r="N26" i="5" s="1"/>
  <c r="N27" i="5" s="1"/>
  <c r="M28" i="8" l="1"/>
  <c r="N27" i="8"/>
  <c r="J26" i="5"/>
  <c r="K29" i="5"/>
  <c r="N28" i="8" l="1"/>
  <c r="M29" i="8"/>
  <c r="J27" i="5"/>
  <c r="L26" i="5"/>
  <c r="M30" i="8" l="1"/>
  <c r="N29" i="8"/>
  <c r="L27" i="5"/>
  <c r="M28" i="5" s="1"/>
  <c r="N28" i="5" s="1"/>
  <c r="M31" i="8" l="1"/>
  <c r="N30" i="8"/>
  <c r="L31" i="8" s="1"/>
  <c r="J28" i="5"/>
  <c r="L32" i="8" l="1"/>
  <c r="N31" i="8"/>
  <c r="M32" i="8"/>
  <c r="L28" i="5"/>
  <c r="M29" i="5" s="1"/>
  <c r="N29" i="5" s="1"/>
  <c r="N32" i="8" l="1"/>
  <c r="J29" i="5"/>
  <c r="L29" i="5" s="1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12" i="8"/>
  <c r="J13" i="8"/>
  <c r="J14" i="8"/>
  <c r="J15" i="8"/>
  <c r="K29" i="8"/>
  <c r="K30" i="8"/>
  <c r="K31" i="8"/>
  <c r="K32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J7" i="8"/>
  <c r="K5" i="8"/>
  <c r="K8" i="8"/>
  <c r="J6" i="8"/>
  <c r="J5" i="8"/>
  <c r="K10" i="8"/>
  <c r="K4" i="8"/>
  <c r="J9" i="8"/>
  <c r="K7" i="8"/>
  <c r="J4" i="8"/>
  <c r="K6" i="8"/>
  <c r="K11" i="8"/>
  <c r="J11" i="8"/>
  <c r="J10" i="8"/>
  <c r="J8" i="8"/>
  <c r="K9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Poznamka</author>
  </authors>
  <commentList>
    <comment ref="M4" authorId="0" shapeId="0" xr:uid="{00000000-0006-0000-0000-000001000000}">
      <text>
        <r>
          <rPr>
            <sz val="11"/>
            <color theme="1"/>
            <rFont val="Aptos Narrow"/>
            <family val="2"/>
            <charset val="238"/>
            <scheme val="minor"/>
          </rPr>
          <t>Specialni vzorec: SELL zahrnoval pre-existujici BTC (0.000060).
P&amp;L pocitame jen z bot-nakoupene qty (M3=0.000070):
= (sell_price - avg_cost) x bot_qty
= (77877.29 - 78784.36) x 0.000070 = -0.0635</t>
        </r>
      </text>
    </comment>
  </commentList>
</comments>
</file>

<file path=xl/sharedStrings.xml><?xml version="1.0" encoding="utf-8"?>
<sst xmlns="http://schemas.openxmlformats.org/spreadsheetml/2006/main" count="290" uniqueCount="46">
  <si>
    <t>REALIZOVANÝ P&amp;L</t>
  </si>
  <si>
    <t>Pár</t>
  </si>
  <si>
    <t>Cena</t>
  </si>
  <si>
    <t>BCHUSDC</t>
  </si>
  <si>
    <t>BTCUSDC</t>
  </si>
  <si>
    <t>PEPEUSDC</t>
  </si>
  <si>
    <t>SHIBUSDC</t>
  </si>
  <si>
    <t>TRXUSDC</t>
  </si>
  <si>
    <t>XRPUSDC</t>
  </si>
  <si>
    <t>Celkem</t>
  </si>
  <si>
    <t>Kumulativní realizovaný P&amp;L - součet všech zisků/ztrát od začátku.</t>
  </si>
  <si>
    <t>P  KumPnL_calc</t>
  </si>
  <si>
    <t>Zisk/ztráta z tohoto prodeje. Prodejní příjem minus průměrná pořizovací cena * prodané množství.</t>
  </si>
  <si>
    <t>O  TradePnL_calc</t>
  </si>
  <si>
    <t>Průměrná pořizovací cena = celková cena / držené množství. (klesá při levných nákupech, roste při drahých)</t>
  </si>
  <si>
    <t>N  AvgCost_calc</t>
  </si>
  <si>
    <t>Kolik BTC aktuálně držím. BUY přičte, SELL odečte.</t>
  </si>
  <si>
    <t>M  Qty_calc</t>
  </si>
  <si>
    <t>Kolik USDC vloženo do aktuálně držených pozic. BUY přičte, SELL odečte průměrnou cenu za prodané množství.</t>
  </si>
  <si>
    <t>L  TotalCost_calc</t>
  </si>
  <si>
    <t>Co počítá</t>
  </si>
  <si>
    <t>Sloupec</t>
  </si>
  <si>
    <t>LEGENDA</t>
  </si>
  <si>
    <t>SELL</t>
  </si>
  <si>
    <t>BUY</t>
  </si>
  <si>
    <t>0.000070</t>
  </si>
  <si>
    <t>KumPnL_calc</t>
  </si>
  <si>
    <t>TradePnL_calc</t>
  </si>
  <si>
    <t>AvgCost_calc</t>
  </si>
  <si>
    <t>Qty_calc</t>
  </si>
  <si>
    <t>TotalCost_calc</t>
  </si>
  <si>
    <t>QtyPo</t>
  </si>
  <si>
    <t xml:space="preserve">AvgCost </t>
  </si>
  <si>
    <t>Fee (BNB)</t>
  </si>
  <si>
    <t>Notional</t>
  </si>
  <si>
    <t>Qty</t>
  </si>
  <si>
    <t>Směr</t>
  </si>
  <si>
    <t>Symbol</t>
  </si>
  <si>
    <t>Datum (UTC)</t>
  </si>
  <si>
    <t>BNBUSDC</t>
  </si>
  <si>
    <t>KumPnL</t>
  </si>
  <si>
    <t>TradePnL</t>
  </si>
  <si>
    <t>1.300000</t>
  </si>
  <si>
    <t xml:space="preserve"> XRPUSDC</t>
  </si>
  <si>
    <t>Fee (PEPE/USDC)</t>
  </si>
  <si>
    <t>NEREALIZOVANÝ P&amp;L (10.5.2026)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</si>
</sst>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0" x14ac:knownFonts="1">
    <font>
      <sz val="11"/>
      <color theme="1"/>
      <name val="Aptos Narrow"/>
      <family val="2"/>
      <charset val="238"/>
      <scheme val="minor"/>
    </font>
    <font>
      <sz val="14"/>
      <color theme="1"/>
      <name val="Aptos Narrow"/>
      <family val="2"/>
      <charset val="238"/>
      <scheme val="minor"/>
    </font>
    <font>
      <i/>
      <sz val="9"/>
      <color rgb="FF595959"/>
      <name val="Aptos Narrow"/>
      <family val="2"/>
    </font>
    <font>
      <sz val="10"/>
      <name val="Aptos Narrow"/>
      <family val="2"/>
    </font>
    <font>
      <b/>
      <sz val="10"/>
      <name val="Aptos Narrow"/>
      <family val="2"/>
    </font>
    <font>
      <b/>
      <sz val="12"/>
      <name val="Aptos Narrow"/>
      <family val="2"/>
    </font>
    <font>
      <b/>
      <sz val="11"/>
      <name val="Aptos Narrow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0" fillId="0" borderId="9" xfId="0" applyBorder="1"/>
    <xf numFmtId="0" fontId="0" fillId="0" borderId="10" xfId="0" applyBorder="1"/>
    <xf numFmtId="0" fontId="3" fillId="0" borderId="11" xfId="0" applyFont="1" applyBorder="1" applyAlignment="1">
      <alignment horizontal="left" vertical="top" wrapText="1"/>
    </xf>
    <xf numFmtId="0" fontId="3" fillId="2" borderId="1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11" xfId="0" applyFont="1" applyBorder="1" applyAlignment="1">
      <alignment horizontal="left" vertical="top" wrapText="1"/>
    </xf>
    <xf numFmtId="0" fontId="4" fillId="3" borderId="11" xfId="0" applyFont="1" applyFill="1" applyBorder="1" applyAlignment="1">
      <alignment vertical="top" wrapText="1"/>
    </xf>
    <xf numFmtId="0" fontId="5" fillId="0" borderId="1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0" fillId="2" borderId="0" xfId="0" applyFill="1"/>
    <xf numFmtId="0" fontId="0" fillId="0" borderId="12" xfId="0" applyBorder="1"/>
    <xf numFmtId="0" fontId="0" fillId="0" borderId="13" xfId="0" applyBorder="1"/>
    <xf numFmtId="22" fontId="0" fillId="0" borderId="14" xfId="0" applyNumberFormat="1" applyBorder="1"/>
    <xf numFmtId="2" fontId="0" fillId="0" borderId="0" xfId="0" applyNumberFormat="1"/>
    <xf numFmtId="22" fontId="0" fillId="0" borderId="1" xfId="0" applyNumberFormat="1" applyBorder="1"/>
    <xf numFmtId="0" fontId="0" fillId="4" borderId="0" xfId="0" applyFill="1"/>
    <xf numFmtId="0" fontId="6" fillId="0" borderId="0" xfId="0" applyFont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15" xfId="0" applyFont="1" applyBorder="1"/>
    <xf numFmtId="0" fontId="6" fillId="0" borderId="16" xfId="0" applyFont="1" applyBorder="1"/>
    <xf numFmtId="0" fontId="6" fillId="0" borderId="18" xfId="0" applyFont="1" applyBorder="1"/>
    <xf numFmtId="0" fontId="7" fillId="0" borderId="16" xfId="0" applyFont="1" applyBorder="1"/>
    <xf numFmtId="0" fontId="7" fillId="0" borderId="17" xfId="0" applyFont="1" applyBorder="1"/>
    <xf numFmtId="22" fontId="0" fillId="0" borderId="0" xfId="0" applyNumberFormat="1"/>
    <xf numFmtId="0" fontId="8" fillId="0" borderId="15" xfId="0" applyFont="1" applyBorder="1"/>
    <xf numFmtId="0" fontId="8" fillId="0" borderId="16" xfId="0" applyFont="1" applyBorder="1"/>
    <xf numFmtId="0" fontId="8" fillId="0" borderId="17" xfId="0" applyFont="1" applyBorder="1"/>
    <xf numFmtId="0" fontId="8" fillId="0" borderId="0" xfId="0" applyFont="1"/>
    <xf numFmtId="0" fontId="8" fillId="0" borderId="1" xfId="0" applyFont="1" applyBorder="1"/>
    <xf numFmtId="0" fontId="6" fillId="0" borderId="4" xfId="0" applyFont="1" applyBorder="1"/>
    <xf numFmtId="0" fontId="6" fillId="0" borderId="19" xfId="0" applyFont="1" applyBorder="1"/>
    <xf numFmtId="0" fontId="7" fillId="0" borderId="19" xfId="0" applyFont="1" applyBorder="1"/>
    <xf numFmtId="0" fontId="7" fillId="0" borderId="3" xfId="0" applyFont="1" applyBorder="1"/>
    <xf numFmtId="0" fontId="9" fillId="0" borderId="19" xfId="0" applyFont="1" applyBorder="1"/>
    <xf numFmtId="0" fontId="9" fillId="0" borderId="3" xfId="0" applyFont="1" applyBorder="1"/>
    <xf numFmtId="164" fontId="0" fillId="0" borderId="1" xfId="0" applyNumberFormat="1" applyBorder="1"/>
    <xf numFmtId="164" fontId="8" fillId="0" borderId="1" xfId="0" applyNumberFormat="1" applyFont="1" applyBorder="1"/>
    <xf numFmtId="0" fontId="1" fillId="0" borderId="0" xfId="0" applyFont="1" applyAlignme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42BA6-7CD7-4328-9E08-28709CA91307}">
  <dimension ref="A1:H11"/>
  <sheetViews>
    <sheetView workbookViewId="0">
      <selection activeCell="B8" sqref="B8"/>
    </sheetView>
  </sheetViews>
  <sheetFormatPr defaultRowHeight="14.4" x14ac:dyDescent="0.3"/>
  <cols>
    <col min="1" max="1" width="15.21875" customWidth="1"/>
    <col min="2" max="2" width="12.88671875" customWidth="1"/>
    <col min="5" max="5" width="14.33203125" customWidth="1"/>
    <col min="6" max="6" width="20.88671875" customWidth="1"/>
  </cols>
  <sheetData>
    <row r="1" spans="1:8" ht="18" x14ac:dyDescent="0.35">
      <c r="A1" s="9" t="s">
        <v>0</v>
      </c>
      <c r="B1" s="9"/>
      <c r="E1" s="9" t="s">
        <v>45</v>
      </c>
      <c r="F1" s="9"/>
      <c r="G1" s="50"/>
      <c r="H1" s="50"/>
    </row>
    <row r="2" spans="1:8" ht="15" thickBot="1" x14ac:dyDescent="0.35"/>
    <row r="3" spans="1:8" x14ac:dyDescent="0.3">
      <c r="A3" s="3" t="s">
        <v>1</v>
      </c>
      <c r="B3" s="4" t="s">
        <v>2</v>
      </c>
      <c r="E3" s="3" t="s">
        <v>1</v>
      </c>
      <c r="F3" s="4" t="s">
        <v>2</v>
      </c>
    </row>
    <row r="4" spans="1:8" x14ac:dyDescent="0.3">
      <c r="A4" s="5" t="s">
        <v>3</v>
      </c>
      <c r="B4" s="6">
        <v>-0.152999999999999</v>
      </c>
      <c r="E4" s="5" t="s">
        <v>3</v>
      </c>
      <c r="F4" s="6">
        <v>-2E-3</v>
      </c>
    </row>
    <row r="5" spans="1:8" x14ac:dyDescent="0.3">
      <c r="A5" s="5" t="s">
        <v>4</v>
      </c>
      <c r="B5" s="6">
        <v>0.25343956428571801</v>
      </c>
      <c r="E5" s="5" t="s">
        <v>4</v>
      </c>
      <c r="F5" s="6">
        <v>4.6699999999999998E-2</v>
      </c>
    </row>
    <row r="6" spans="1:8" x14ac:dyDescent="0.3">
      <c r="A6" s="5" t="s">
        <v>5</v>
      </c>
      <c r="B6" s="6">
        <v>0.40375851717677902</v>
      </c>
      <c r="E6" s="5" t="s">
        <v>5</v>
      </c>
      <c r="F6" s="6">
        <v>3.09E-2</v>
      </c>
    </row>
    <row r="7" spans="1:8" x14ac:dyDescent="0.3">
      <c r="A7" s="5" t="s">
        <v>6</v>
      </c>
      <c r="B7" s="6">
        <v>8.3196274218649294E-2</v>
      </c>
      <c r="E7" s="5" t="s">
        <v>6</v>
      </c>
      <c r="F7" s="6">
        <v>3.9399999999999998E-2</v>
      </c>
    </row>
    <row r="8" spans="1:8" x14ac:dyDescent="0.3">
      <c r="A8" s="5" t="s">
        <v>7</v>
      </c>
      <c r="B8" s="6">
        <v>5.9144937770264798E-2</v>
      </c>
      <c r="E8" s="5" t="s">
        <v>7</v>
      </c>
      <c r="F8" s="6">
        <v>4.6399999999999997E-2</v>
      </c>
    </row>
    <row r="9" spans="1:8" x14ac:dyDescent="0.3">
      <c r="A9" s="5" t="s">
        <v>8</v>
      </c>
      <c r="B9" s="6">
        <v>-0.16656000000000001</v>
      </c>
      <c r="E9" s="5" t="s">
        <v>8</v>
      </c>
      <c r="F9" s="6">
        <v>-2.8999999999999998E-3</v>
      </c>
    </row>
    <row r="10" spans="1:8" x14ac:dyDescent="0.3">
      <c r="A10" s="1"/>
      <c r="B10" s="2"/>
      <c r="E10" s="1"/>
      <c r="F10" s="2"/>
    </row>
    <row r="11" spans="1:8" ht="15" thickBot="1" x14ac:dyDescent="0.35">
      <c r="A11" s="7" t="s">
        <v>9</v>
      </c>
      <c r="B11" s="8">
        <f>SUM(B4:B9)</f>
        <v>0.47997929345141199</v>
      </c>
      <c r="E11" s="7" t="s">
        <v>9</v>
      </c>
      <c r="F11" s="8">
        <f>SUM(F4:F9)</f>
        <v>0.15849999999999997</v>
      </c>
    </row>
  </sheetData>
  <mergeCells count="2">
    <mergeCell ref="A1:B1"/>
    <mergeCell ref="E1:F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F12AF-6C4B-40FA-82E5-E6F9572D1E2F}">
  <dimension ref="A1:N18"/>
  <sheetViews>
    <sheetView tabSelected="1" workbookViewId="0">
      <selection activeCell="G28" sqref="A25:G28"/>
    </sheetView>
  </sheetViews>
  <sheetFormatPr defaultRowHeight="14.4" x14ac:dyDescent="0.3"/>
  <cols>
    <col min="1" max="1" width="20.6640625" customWidth="1"/>
    <col min="4" max="4" width="14.6640625" customWidth="1"/>
    <col min="5" max="5" width="11" customWidth="1"/>
    <col min="6" max="6" width="9.5546875" customWidth="1"/>
    <col min="7" max="7" width="15" customWidth="1"/>
    <col min="8" max="8" width="14.21875" customWidth="1"/>
    <col min="9" max="9" width="10.5546875" customWidth="1"/>
    <col min="10" max="10" width="14.5546875" customWidth="1"/>
    <col min="11" max="11" width="9.21875" customWidth="1"/>
    <col min="12" max="12" width="13.21875" customWidth="1"/>
    <col min="13" max="13" width="13.33203125" customWidth="1"/>
    <col min="14" max="14" width="12.88671875" customWidth="1"/>
    <col min="15" max="15" width="11.109375" customWidth="1"/>
    <col min="16" max="16" width="10.5546875" customWidth="1"/>
  </cols>
  <sheetData>
    <row r="1" spans="1:14" x14ac:dyDescent="0.3">
      <c r="A1" s="30" t="s">
        <v>38</v>
      </c>
      <c r="B1" s="29" t="s">
        <v>37</v>
      </c>
      <c r="C1" s="29" t="s">
        <v>36</v>
      </c>
      <c r="D1" s="29" t="s">
        <v>2</v>
      </c>
      <c r="E1" s="29" t="s">
        <v>35</v>
      </c>
      <c r="F1" s="29" t="s">
        <v>34</v>
      </c>
      <c r="G1" s="29" t="s">
        <v>33</v>
      </c>
      <c r="H1" s="29" t="s">
        <v>32</v>
      </c>
      <c r="I1" s="28" t="s">
        <v>31</v>
      </c>
      <c r="J1" s="27" t="s">
        <v>30</v>
      </c>
      <c r="K1" s="27" t="s">
        <v>29</v>
      </c>
      <c r="L1" s="27" t="s">
        <v>28</v>
      </c>
      <c r="M1" s="27" t="s">
        <v>27</v>
      </c>
      <c r="N1" s="27" t="s">
        <v>26</v>
      </c>
    </row>
    <row r="2" spans="1:14" x14ac:dyDescent="0.3">
      <c r="A2" s="1"/>
      <c r="I2" s="2"/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">
      <c r="A3" s="25">
        <v>46134.904594907413</v>
      </c>
      <c r="B3" t="s">
        <v>4</v>
      </c>
      <c r="C3" t="s">
        <v>24</v>
      </c>
      <c r="D3">
        <v>78784.36</v>
      </c>
      <c r="E3">
        <v>6.9999999999999994E-5</v>
      </c>
      <c r="F3">
        <v>5.5148999999999999</v>
      </c>
      <c r="G3">
        <v>6.4400000000000002E-6</v>
      </c>
      <c r="H3">
        <v>78784.36</v>
      </c>
      <c r="I3" s="2" t="s">
        <v>25</v>
      </c>
      <c r="J3" s="20">
        <f>IF(C3="BUY",J2+F3,J2-L2*E3)</f>
        <v>5.5148999999999999</v>
      </c>
      <c r="K3" s="20">
        <f>IF(C3="BUY",K2+E3,K2-E3)</f>
        <v>6.9999999999999994E-5</v>
      </c>
      <c r="L3" s="20">
        <f>IF(K3&gt;0,J3/K3,0)</f>
        <v>78784.285714285725</v>
      </c>
      <c r="M3" s="20">
        <f>IF(C3="SELL",F3-L2*E3,0)</f>
        <v>0</v>
      </c>
      <c r="N3" s="20">
        <f>N2+IF(C3="SELL",M3,0)</f>
        <v>0</v>
      </c>
    </row>
    <row r="4" spans="1:14" x14ac:dyDescent="0.3">
      <c r="A4" s="25">
        <v>46135.808645833327</v>
      </c>
      <c r="B4" t="s">
        <v>4</v>
      </c>
      <c r="C4" t="s">
        <v>23</v>
      </c>
      <c r="D4">
        <v>77877.289999999994</v>
      </c>
      <c r="E4">
        <v>1.2999999999999999E-4</v>
      </c>
      <c r="F4">
        <v>10.124000000000001</v>
      </c>
      <c r="G4">
        <v>1.133E-5</v>
      </c>
      <c r="H4">
        <v>0</v>
      </c>
      <c r="I4" s="2">
        <v>0</v>
      </c>
      <c r="J4" s="26">
        <v>0</v>
      </c>
      <c r="K4" s="26">
        <v>0</v>
      </c>
      <c r="L4" s="26">
        <v>0</v>
      </c>
      <c r="M4" s="26">
        <f>(D4-L3)*K3</f>
        <v>-6.3489700000001176E-2</v>
      </c>
      <c r="N4" s="26">
        <f>N3+M4</f>
        <v>-6.3489700000001176E-2</v>
      </c>
    </row>
    <row r="5" spans="1:14" x14ac:dyDescent="0.3">
      <c r="A5" s="25">
        <v>46138.873055555552</v>
      </c>
      <c r="B5" t="s">
        <v>4</v>
      </c>
      <c r="C5" t="s">
        <v>24</v>
      </c>
      <c r="D5">
        <v>78266.61</v>
      </c>
      <c r="E5">
        <v>1.1E-4</v>
      </c>
      <c r="F5">
        <v>8.6092999999999993</v>
      </c>
      <c r="G5">
        <v>9.2399999999999996E-6</v>
      </c>
      <c r="H5">
        <v>78266.61</v>
      </c>
      <c r="I5" s="2">
        <v>1.1E-4</v>
      </c>
      <c r="J5" s="20">
        <f>IF(C5="BUY",J4+F5,J4-L4*E5)</f>
        <v>8.6092999999999993</v>
      </c>
      <c r="K5" s="20">
        <f>IF(C5="BUY",K4+E5,K4-E5)</f>
        <v>1.1E-4</v>
      </c>
      <c r="L5" s="20">
        <f>IF(K5&gt;0,J5/K5,0)</f>
        <v>78266.363636363632</v>
      </c>
      <c r="M5" s="20">
        <f>IF(C5="SELL",F5-L4*E5,0)</f>
        <v>0</v>
      </c>
      <c r="N5" s="20">
        <f>N4+IF(C5="SELL",M5,0)</f>
        <v>-6.3489700000001176E-2</v>
      </c>
    </row>
    <row r="6" spans="1:14" x14ac:dyDescent="0.3">
      <c r="A6" s="25">
        <v>46146.864270833343</v>
      </c>
      <c r="B6" t="s">
        <v>4</v>
      </c>
      <c r="C6" t="s">
        <v>24</v>
      </c>
      <c r="D6">
        <v>79910.75</v>
      </c>
      <c r="E6">
        <v>9.0000000000000006E-5</v>
      </c>
      <c r="F6">
        <v>7.1920000000000002</v>
      </c>
      <c r="G6">
        <v>8.6500000000000002E-6</v>
      </c>
      <c r="H6">
        <v>79006.472999999998</v>
      </c>
      <c r="I6" s="2">
        <v>2.0000000000000001E-4</v>
      </c>
      <c r="J6" s="20">
        <f>IF(C6="BUY",J5+F6,J5-L5*E6)</f>
        <v>15.801299999999999</v>
      </c>
      <c r="K6" s="20">
        <f>IF(C6="BUY",K5+E6,K5-E6)</f>
        <v>2.0000000000000001E-4</v>
      </c>
      <c r="L6" s="20">
        <f>IF(K6&gt;0,J6/K6,0)</f>
        <v>79006.5</v>
      </c>
      <c r="M6" s="20">
        <f>IF(C6="SELL",F6-L5*E6,0)</f>
        <v>0</v>
      </c>
      <c r="N6" s="20">
        <f>N5+IF(C6="SELL",M6,0)</f>
        <v>-6.3489700000001176E-2</v>
      </c>
    </row>
    <row r="7" spans="1:14" x14ac:dyDescent="0.3">
      <c r="A7" s="25">
        <v>46146.874745370369</v>
      </c>
      <c r="B7" t="s">
        <v>4</v>
      </c>
      <c r="C7" t="s">
        <v>24</v>
      </c>
      <c r="D7">
        <v>79934.880000000005</v>
      </c>
      <c r="E7">
        <v>8.0000000000000007E-5</v>
      </c>
      <c r="F7" s="24">
        <v>6.3948</v>
      </c>
      <c r="G7">
        <v>7.6899999999999992E-6</v>
      </c>
      <c r="H7">
        <v>79271.732143000001</v>
      </c>
      <c r="I7" s="2">
        <v>2.7999999999999998E-4</v>
      </c>
      <c r="J7" s="20">
        <f>IF(C7="BUY",J6+F7,J6-L6*E7)</f>
        <v>22.196100000000001</v>
      </c>
      <c r="K7" s="20">
        <f>IF(C7="BUY",K6+E7,K6-E7)</f>
        <v>2.8000000000000003E-4</v>
      </c>
      <c r="L7" s="20">
        <f>IF(K7&gt;0,J7/K7,0)</f>
        <v>79271.78571428571</v>
      </c>
      <c r="M7" s="20">
        <f>IF(C7="SELL",F7-L6*E7,0)</f>
        <v>0</v>
      </c>
      <c r="N7" s="20">
        <f>N6+IF(C7="SELL",M7,0)</f>
        <v>-6.3489700000001176E-2</v>
      </c>
    </row>
    <row r="8" spans="1:14" ht="15" customHeight="1" thickBot="1" x14ac:dyDescent="0.35">
      <c r="A8" s="23">
        <v>46147.41851851852</v>
      </c>
      <c r="B8" s="22" t="s">
        <v>4</v>
      </c>
      <c r="C8" s="22" t="s">
        <v>23</v>
      </c>
      <c r="D8" s="22">
        <v>80539.47</v>
      </c>
      <c r="E8" s="22">
        <v>2.5000000000000001E-4</v>
      </c>
      <c r="F8" s="22">
        <v>20.134899999999998</v>
      </c>
      <c r="G8" s="22">
        <v>2.2880000000000001E-5</v>
      </c>
      <c r="H8" s="22">
        <v>79271.732143000001</v>
      </c>
      <c r="I8" s="21">
        <v>3.0000000000000001E-5</v>
      </c>
      <c r="J8" s="20">
        <f>IF(C8="BUY",J7+F8,J7-L7*E8)</f>
        <v>2.3781535714285731</v>
      </c>
      <c r="K8" s="20">
        <f>IF(C8="BUY",K7+E8,K7-E8)</f>
        <v>3.0000000000000024E-5</v>
      </c>
      <c r="L8" s="20">
        <f>IF(K8&gt;0,J8/K8,0)</f>
        <v>79271.78571428571</v>
      </c>
      <c r="M8" s="20">
        <f>IF(C8="SELL",F8-L7*E8,0)</f>
        <v>0.31695357142857006</v>
      </c>
      <c r="N8" s="20">
        <f>N7+IF(C8="SELL",M8,0)</f>
        <v>0.25346387142856885</v>
      </c>
    </row>
    <row r="9" spans="1:14" x14ac:dyDescent="0.3">
      <c r="A9" s="19"/>
    </row>
    <row r="10" spans="1:14" x14ac:dyDescent="0.3">
      <c r="A10" s="19"/>
    </row>
    <row r="11" spans="1:14" ht="15.6" customHeight="1" x14ac:dyDescent="0.3">
      <c r="A11" s="18" t="s">
        <v>22</v>
      </c>
      <c r="B11" s="12"/>
      <c r="C11" s="12"/>
      <c r="D11" s="12"/>
      <c r="E11" s="12"/>
      <c r="F11" s="12"/>
      <c r="G11" s="12"/>
      <c r="H11" s="12"/>
      <c r="I11" s="11"/>
    </row>
    <row r="12" spans="1:14" x14ac:dyDescent="0.3">
      <c r="A12" s="17" t="s">
        <v>21</v>
      </c>
      <c r="B12" s="16" t="s">
        <v>20</v>
      </c>
      <c r="C12" s="12"/>
      <c r="D12" s="12"/>
      <c r="E12" s="12"/>
      <c r="F12" s="12"/>
      <c r="G12" s="12"/>
      <c r="H12" s="12"/>
      <c r="I12" s="11"/>
    </row>
    <row r="13" spans="1:14" ht="13.8" customHeight="1" x14ac:dyDescent="0.3">
      <c r="A13" s="14" t="s">
        <v>19</v>
      </c>
      <c r="B13" s="13" t="s">
        <v>18</v>
      </c>
      <c r="C13" s="12"/>
      <c r="D13" s="12"/>
      <c r="E13" s="12"/>
      <c r="F13" s="12"/>
      <c r="G13" s="12"/>
      <c r="H13" s="12"/>
      <c r="I13" s="11"/>
    </row>
    <row r="14" spans="1:14" ht="14.4" customHeight="1" x14ac:dyDescent="0.3">
      <c r="A14" s="14" t="s">
        <v>17</v>
      </c>
      <c r="B14" s="13" t="s">
        <v>16</v>
      </c>
      <c r="C14" s="12"/>
      <c r="D14" s="12"/>
      <c r="E14" s="12"/>
      <c r="F14" s="12"/>
      <c r="G14" s="12"/>
      <c r="H14" s="12"/>
      <c r="I14" s="11"/>
    </row>
    <row r="15" spans="1:14" ht="15.6" customHeight="1" x14ac:dyDescent="0.3">
      <c r="A15" s="14" t="s">
        <v>15</v>
      </c>
      <c r="B15" s="13" t="s">
        <v>14</v>
      </c>
      <c r="C15" s="12"/>
      <c r="D15" s="12"/>
      <c r="E15" s="12"/>
      <c r="F15" s="12"/>
      <c r="G15" s="12"/>
      <c r="H15" s="12"/>
      <c r="I15" s="11"/>
      <c r="J15" s="15"/>
      <c r="K15" s="15"/>
      <c r="L15" s="15"/>
    </row>
    <row r="16" spans="1:14" ht="16.2" customHeight="1" x14ac:dyDescent="0.3">
      <c r="A16" s="14" t="s">
        <v>13</v>
      </c>
      <c r="B16" s="13" t="s">
        <v>12</v>
      </c>
      <c r="C16" s="12"/>
      <c r="D16" s="12"/>
      <c r="E16" s="12"/>
      <c r="F16" s="12"/>
      <c r="G16" s="12"/>
      <c r="H16" s="12"/>
      <c r="I16" s="11"/>
    </row>
    <row r="17" spans="1:9" ht="17.399999999999999" customHeight="1" x14ac:dyDescent="0.3">
      <c r="A17" s="14" t="s">
        <v>11</v>
      </c>
      <c r="B17" s="13" t="s">
        <v>10</v>
      </c>
      <c r="C17" s="12"/>
      <c r="D17" s="12"/>
      <c r="E17" s="12"/>
      <c r="F17" s="12"/>
      <c r="G17" s="12"/>
      <c r="H17" s="12"/>
      <c r="I17" s="11"/>
    </row>
    <row r="18" spans="1:9" x14ac:dyDescent="0.3">
      <c r="A18" s="10"/>
    </row>
  </sheetData>
  <mergeCells count="7">
    <mergeCell ref="B17:I17"/>
    <mergeCell ref="B12:I12"/>
    <mergeCell ref="B13:I13"/>
    <mergeCell ref="A11:I11"/>
    <mergeCell ref="B15:I15"/>
    <mergeCell ref="B16:I16"/>
    <mergeCell ref="B14:I14"/>
  </mergeCells>
  <pageMargins left="0.7" right="0.7" top="0.78740157499999996" bottom="0.78740157499999996" header="0.3" footer="0.3"/>
  <pageSetup paperSize="9" orientation="portrait" horizontalDpi="4294967293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FDE6-8881-4B87-A327-4EF7F1028BC1}">
  <dimension ref="A1:N5"/>
  <sheetViews>
    <sheetView workbookViewId="0">
      <selection activeCell="H12" sqref="H12"/>
    </sheetView>
  </sheetViews>
  <sheetFormatPr defaultRowHeight="14.4" x14ac:dyDescent="0.3"/>
  <cols>
    <col min="1" max="1" width="17.77734375" customWidth="1"/>
    <col min="6" max="6" width="11.88671875" customWidth="1"/>
    <col min="7" max="7" width="12.33203125" customWidth="1"/>
    <col min="8" max="8" width="12.5546875" customWidth="1"/>
    <col min="9" max="9" width="11.77734375" customWidth="1"/>
    <col min="10" max="10" width="13.88671875" customWidth="1"/>
    <col min="11" max="11" width="10" customWidth="1"/>
    <col min="12" max="12" width="12.5546875" customWidth="1"/>
    <col min="13" max="13" width="15.33203125" customWidth="1"/>
    <col min="14" max="14" width="13.21875" customWidth="1"/>
  </cols>
  <sheetData>
    <row r="1" spans="1:14" x14ac:dyDescent="0.3">
      <c r="A1" s="35" t="s">
        <v>38</v>
      </c>
      <c r="B1" s="34" t="s">
        <v>37</v>
      </c>
      <c r="C1" s="34" t="s">
        <v>36</v>
      </c>
      <c r="D1" s="34" t="s">
        <v>2</v>
      </c>
      <c r="E1" s="34" t="s">
        <v>35</v>
      </c>
      <c r="F1" s="34" t="s">
        <v>34</v>
      </c>
      <c r="G1" s="34" t="s">
        <v>33</v>
      </c>
      <c r="H1" s="34" t="s">
        <v>32</v>
      </c>
      <c r="I1" s="34" t="s">
        <v>31</v>
      </c>
      <c r="J1" s="33" t="s">
        <v>30</v>
      </c>
      <c r="K1" s="32" t="s">
        <v>29</v>
      </c>
      <c r="L1" s="32" t="s">
        <v>28</v>
      </c>
      <c r="M1" s="32" t="s">
        <v>27</v>
      </c>
      <c r="N1" s="31" t="s">
        <v>26</v>
      </c>
    </row>
    <row r="2" spans="1:14" x14ac:dyDescent="0.3">
      <c r="A2" s="1"/>
      <c r="J2">
        <v>0</v>
      </c>
      <c r="K2">
        <v>0</v>
      </c>
      <c r="L2">
        <v>0</v>
      </c>
      <c r="M2">
        <v>0</v>
      </c>
      <c r="N2" s="2">
        <v>0</v>
      </c>
    </row>
    <row r="3" spans="1:14" x14ac:dyDescent="0.3">
      <c r="A3" s="1"/>
      <c r="N3" s="2"/>
    </row>
    <row r="4" spans="1:14" x14ac:dyDescent="0.3">
      <c r="A4" s="25">
        <v>46138.873067129629</v>
      </c>
      <c r="B4" t="s">
        <v>3</v>
      </c>
      <c r="C4" t="s">
        <v>24</v>
      </c>
      <c r="D4">
        <v>454.1</v>
      </c>
      <c r="E4">
        <v>1.9E-2</v>
      </c>
      <c r="F4">
        <v>8.6279000000000003</v>
      </c>
      <c r="G4">
        <v>9.6600000000000007E-6</v>
      </c>
      <c r="H4">
        <v>454.1</v>
      </c>
      <c r="I4">
        <v>1.9E-2</v>
      </c>
      <c r="J4">
        <f>IF(C4="BUY",J2+F4,J2-L2*E4)</f>
        <v>8.6279000000000003</v>
      </c>
      <c r="K4">
        <f>IF(C4="BUY",K2+E4,K2-E4)</f>
        <v>1.9E-2</v>
      </c>
      <c r="L4">
        <f>IF(K4&gt;0,J4/K4,0)</f>
        <v>454.1</v>
      </c>
      <c r="M4">
        <f>IF(C4="SELL",F4-L2*E4,0)</f>
        <v>0</v>
      </c>
      <c r="N4" s="2">
        <f>N2+IF(C4="SELL",M4,0)</f>
        <v>0</v>
      </c>
    </row>
    <row r="5" spans="1:14" ht="15" thickBot="1" x14ac:dyDescent="0.35">
      <c r="A5" s="23">
        <v>46146.948067129626</v>
      </c>
      <c r="B5" s="22" t="s">
        <v>3</v>
      </c>
      <c r="C5" s="22" t="s">
        <v>23</v>
      </c>
      <c r="D5" s="22">
        <v>443.9</v>
      </c>
      <c r="E5" s="22">
        <v>1.4999999999999999E-2</v>
      </c>
      <c r="F5" s="22">
        <v>6.6585000000000001</v>
      </c>
      <c r="G5" s="22">
        <v>7.5900000000000002E-6</v>
      </c>
      <c r="H5" s="22">
        <v>454.1</v>
      </c>
      <c r="I5" s="22">
        <v>4.0000000000000001E-3</v>
      </c>
      <c r="J5" s="22">
        <f>IF(C5="BUY",J4+F5,J4-L4*E5)</f>
        <v>1.8164000000000007</v>
      </c>
      <c r="K5" s="22">
        <f>IF(C5="BUY",K4+E5,K4-E5)</f>
        <v>4.0000000000000001E-3</v>
      </c>
      <c r="L5" s="22">
        <f>IF(K5&gt;0,J5/K5,0)</f>
        <v>454.10000000000014</v>
      </c>
      <c r="M5" s="22">
        <f>IF(C5="SELL",F5-L4*E5,0)</f>
        <v>-0.15299999999999958</v>
      </c>
      <c r="N5" s="21">
        <f>N4+IF(C5="SELL",M5,0)</f>
        <v>-0.15299999999999958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4B201-E243-4D81-974F-DA7840C9C253}">
  <dimension ref="A1:N29"/>
  <sheetViews>
    <sheetView workbookViewId="0">
      <selection activeCell="T16" sqref="T16"/>
    </sheetView>
  </sheetViews>
  <sheetFormatPr defaultRowHeight="14.4" x14ac:dyDescent="0.3"/>
  <cols>
    <col min="1" max="1" width="18.6640625" customWidth="1"/>
    <col min="2" max="2" width="10.44140625" customWidth="1"/>
    <col min="7" max="7" width="12.88671875" customWidth="1"/>
    <col min="8" max="8" width="10.44140625" customWidth="1"/>
    <col min="10" max="10" width="15" customWidth="1"/>
    <col min="11" max="11" width="9.33203125" customWidth="1"/>
    <col min="12" max="13" width="13.88671875" customWidth="1"/>
    <col min="14" max="14" width="13.6640625" customWidth="1"/>
  </cols>
  <sheetData>
    <row r="1" spans="1:14" x14ac:dyDescent="0.3">
      <c r="A1" s="45" t="s">
        <v>38</v>
      </c>
      <c r="B1" s="44" t="s">
        <v>37</v>
      </c>
      <c r="C1" s="44" t="s">
        <v>36</v>
      </c>
      <c r="D1" s="44" t="s">
        <v>2</v>
      </c>
      <c r="E1" s="44" t="s">
        <v>35</v>
      </c>
      <c r="F1" s="44" t="s">
        <v>34</v>
      </c>
      <c r="G1" s="44" t="s">
        <v>33</v>
      </c>
      <c r="H1" s="44" t="s">
        <v>32</v>
      </c>
      <c r="I1" s="44" t="s">
        <v>31</v>
      </c>
      <c r="J1" s="43" t="s">
        <v>30</v>
      </c>
      <c r="K1" s="43" t="s">
        <v>29</v>
      </c>
      <c r="L1" s="43" t="s">
        <v>28</v>
      </c>
      <c r="M1" s="43" t="s">
        <v>27</v>
      </c>
      <c r="N1" s="42" t="s">
        <v>26</v>
      </c>
    </row>
    <row r="2" spans="1:14" x14ac:dyDescent="0.3">
      <c r="A2" s="41"/>
      <c r="B2" s="40"/>
      <c r="C2" s="40"/>
      <c r="D2" s="40"/>
      <c r="E2" s="40"/>
      <c r="F2" s="40"/>
      <c r="G2" s="40"/>
      <c r="H2" s="40"/>
      <c r="I2" s="40"/>
      <c r="J2">
        <v>0</v>
      </c>
      <c r="K2">
        <v>0</v>
      </c>
      <c r="L2">
        <v>0</v>
      </c>
      <c r="M2">
        <v>0</v>
      </c>
      <c r="N2" s="2">
        <v>0</v>
      </c>
    </row>
    <row r="3" spans="1:14" x14ac:dyDescent="0.3">
      <c r="A3" s="1"/>
      <c r="N3" s="2"/>
    </row>
    <row r="4" spans="1:14" x14ac:dyDescent="0.3">
      <c r="A4" s="25">
        <v>46138.878645833334</v>
      </c>
      <c r="B4" t="s">
        <v>6</v>
      </c>
      <c r="C4" t="s">
        <v>24</v>
      </c>
      <c r="D4">
        <v>6.0000000000000002E-6</v>
      </c>
      <c r="E4">
        <v>330879</v>
      </c>
      <c r="F4">
        <v>2.0581</v>
      </c>
      <c r="G4">
        <v>2.3499999999999999E-6</v>
      </c>
      <c r="H4">
        <v>6.0000000000000002E-6</v>
      </c>
      <c r="I4">
        <v>330879</v>
      </c>
      <c r="J4">
        <f>IF(C4="BUY",J2+F4,J2-L2*E4)</f>
        <v>2.0581</v>
      </c>
      <c r="K4">
        <f>IF(C4="BUY",K2+E4,K2-E4)</f>
        <v>330879</v>
      </c>
      <c r="L4">
        <f>IF(K4&gt;0,J4/K4,0)</f>
        <v>6.2200985858878923E-6</v>
      </c>
      <c r="M4">
        <f>IF(C4="SELL",F4-L2*E4,0)</f>
        <v>0</v>
      </c>
      <c r="N4" s="2">
        <f>N2+IF(C4="SELL",M4,0)</f>
        <v>0</v>
      </c>
    </row>
    <row r="5" spans="1:14" x14ac:dyDescent="0.3">
      <c r="A5" s="25">
        <v>46139.949074074073</v>
      </c>
      <c r="B5" t="s">
        <v>6</v>
      </c>
      <c r="C5" t="s">
        <v>24</v>
      </c>
      <c r="D5">
        <v>6.0000000000000002E-6</v>
      </c>
      <c r="E5">
        <v>421237</v>
      </c>
      <c r="F5">
        <v>2.5779999999999998</v>
      </c>
      <c r="G5">
        <v>3.0000000000000001E-6</v>
      </c>
      <c r="H5">
        <v>6.0000000000000002E-6</v>
      </c>
      <c r="I5">
        <v>752116</v>
      </c>
      <c r="J5">
        <f>IF(C5="BUY",J4+F5,J4-L4*E5)</f>
        <v>4.6360999999999999</v>
      </c>
      <c r="K5">
        <f>IF(C5="BUY",K4+E5,K4-E5)</f>
        <v>752116</v>
      </c>
      <c r="L5">
        <f>IF(K5&gt;0,J5/K5,0)</f>
        <v>6.1640757542719475E-6</v>
      </c>
      <c r="M5">
        <f>IF(C5="SELL",F5-L4*E5,0)</f>
        <v>0</v>
      </c>
      <c r="N5" s="2">
        <f>N4+IF(C5="SELL",M5,0)</f>
        <v>0</v>
      </c>
    </row>
    <row r="6" spans="1:14" x14ac:dyDescent="0.3">
      <c r="A6" s="25">
        <v>46140.805601851855</v>
      </c>
      <c r="B6" t="s">
        <v>6</v>
      </c>
      <c r="C6" t="s">
        <v>24</v>
      </c>
      <c r="D6">
        <v>6.0000000000000002E-6</v>
      </c>
      <c r="E6">
        <v>230373</v>
      </c>
      <c r="F6">
        <v>1.4121999999999999</v>
      </c>
      <c r="G6">
        <v>1.6300000000000001E-6</v>
      </c>
      <c r="H6">
        <v>6.0000000000000002E-6</v>
      </c>
      <c r="I6">
        <v>982489</v>
      </c>
      <c r="J6">
        <f>IF(C6="BUY",J5+F6,J5-L5*E6)</f>
        <v>6.0482999999999993</v>
      </c>
      <c r="K6">
        <f>IF(C6="BUY",K5+E6,K5-E6)</f>
        <v>982489</v>
      </c>
      <c r="L6">
        <f>IF(K6&gt;0,J6/K6,0)</f>
        <v>6.1560994576020696E-6</v>
      </c>
      <c r="M6">
        <f>IF(C6="SELL",F6-L5*E6,0)</f>
        <v>0</v>
      </c>
      <c r="N6" s="2">
        <f>N5+IF(C6="SELL",M6,0)</f>
        <v>0</v>
      </c>
    </row>
    <row r="7" spans="1:14" x14ac:dyDescent="0.3">
      <c r="A7" s="25">
        <v>46140.81349537037</v>
      </c>
      <c r="B7" t="s">
        <v>6</v>
      </c>
      <c r="C7" t="s">
        <v>24</v>
      </c>
      <c r="D7">
        <v>6.0000000000000002E-6</v>
      </c>
      <c r="E7">
        <v>216533</v>
      </c>
      <c r="F7">
        <v>1.3272999999999999</v>
      </c>
      <c r="G7">
        <v>1.53E-6</v>
      </c>
      <c r="H7">
        <v>6.0000000000000002E-6</v>
      </c>
      <c r="I7">
        <v>1199022</v>
      </c>
      <c r="J7">
        <f>IF(C7="BUY",J6+F7,J6-L6*E7)</f>
        <v>7.3755999999999995</v>
      </c>
      <c r="K7">
        <f>IF(C7="BUY",K6+E7,K6-E7)</f>
        <v>1199022</v>
      </c>
      <c r="L7">
        <f>IF(K7&gt;0,J7/K7,0)</f>
        <v>6.1513466808782484E-6</v>
      </c>
      <c r="M7">
        <f>IF(C7="SELL",F7-L6*E7,0)</f>
        <v>0</v>
      </c>
      <c r="N7" s="2">
        <f>N6+IF(C7="SELL",M7,0)</f>
        <v>0</v>
      </c>
    </row>
    <row r="8" spans="1:14" x14ac:dyDescent="0.3">
      <c r="A8" s="25">
        <v>46140.823981481481</v>
      </c>
      <c r="B8" t="s">
        <v>6</v>
      </c>
      <c r="C8" t="s">
        <v>24</v>
      </c>
      <c r="D8">
        <v>6.0000000000000002E-6</v>
      </c>
      <c r="E8">
        <v>203209</v>
      </c>
      <c r="F8">
        <v>1.2497</v>
      </c>
      <c r="G8">
        <v>1.44E-6</v>
      </c>
      <c r="H8">
        <v>6.0000000000000002E-6</v>
      </c>
      <c r="I8">
        <v>1402231</v>
      </c>
      <c r="J8">
        <f>IF(C8="BUY",J7+F8,J7-L7*E8)</f>
        <v>8.6252999999999993</v>
      </c>
      <c r="K8">
        <f>IF(C8="BUY",K7+E8,K7-E8)</f>
        <v>1402231</v>
      </c>
      <c r="L8">
        <f>IF(K8&gt;0,J8/K8,0)</f>
        <v>6.1511263122837815E-6</v>
      </c>
      <c r="M8">
        <f>IF(C8="SELL",F8-L7*E8,0)</f>
        <v>0</v>
      </c>
      <c r="N8" s="2">
        <f>N7+IF(C8="SELL",M8,0)</f>
        <v>0</v>
      </c>
    </row>
    <row r="9" spans="1:14" x14ac:dyDescent="0.3">
      <c r="A9" s="25">
        <v>46140.834479166668</v>
      </c>
      <c r="B9" t="s">
        <v>6</v>
      </c>
      <c r="C9" t="s">
        <v>24</v>
      </c>
      <c r="D9">
        <v>6.0000000000000002E-6</v>
      </c>
      <c r="E9">
        <v>190991</v>
      </c>
      <c r="F9">
        <v>1.1746000000000001</v>
      </c>
      <c r="G9">
        <v>1.35E-6</v>
      </c>
      <c r="H9">
        <v>6.0000000000000002E-6</v>
      </c>
      <c r="I9">
        <v>1593222</v>
      </c>
      <c r="J9">
        <f>IF(C9="BUY",J8+F9,J8-L8*E9)</f>
        <v>9.7998999999999992</v>
      </c>
      <c r="K9">
        <f>IF(C9="BUY",K8+E9,K8-E9)</f>
        <v>1593222</v>
      </c>
      <c r="L9">
        <f>IF(K9&gt;0,J9/K9,0)</f>
        <v>6.1509946510906827E-6</v>
      </c>
      <c r="M9">
        <f>IF(C9="SELL",F9-L8*E9,0)</f>
        <v>0</v>
      </c>
      <c r="N9" s="2">
        <f>N8+IF(C9="SELL",M9,0)</f>
        <v>0</v>
      </c>
    </row>
    <row r="10" spans="1:14" x14ac:dyDescent="0.3">
      <c r="A10" s="25">
        <v>46140.844953703701</v>
      </c>
      <c r="B10" t="s">
        <v>6</v>
      </c>
      <c r="C10" t="s">
        <v>24</v>
      </c>
      <c r="D10">
        <v>6.0000000000000002E-6</v>
      </c>
      <c r="E10">
        <v>179230</v>
      </c>
      <c r="F10">
        <v>1.1023000000000001</v>
      </c>
      <c r="G10">
        <v>1.2699999999999999E-6</v>
      </c>
      <c r="H10">
        <v>6.0000000000000002E-6</v>
      </c>
      <c r="I10">
        <v>1772452</v>
      </c>
      <c r="J10">
        <f>IF(C10="BUY",J9+F10,J9-L9*E10)</f>
        <v>10.902199999999999</v>
      </c>
      <c r="K10">
        <f>IF(C10="BUY",K9+E10,K9-E10)</f>
        <v>1772452</v>
      </c>
      <c r="L10">
        <f>IF(K10&gt;0,J10/K10,0)</f>
        <v>6.1509141009178235E-6</v>
      </c>
      <c r="M10">
        <f>IF(C10="SELL",F10-L9*E10,0)</f>
        <v>0</v>
      </c>
      <c r="N10" s="2">
        <f>N9+IF(C10="SELL",M10,0)</f>
        <v>0</v>
      </c>
    </row>
    <row r="11" spans="1:14" x14ac:dyDescent="0.3">
      <c r="A11" s="25">
        <v>46140.855439814812</v>
      </c>
      <c r="B11" t="s">
        <v>6</v>
      </c>
      <c r="C11" t="s">
        <v>24</v>
      </c>
      <c r="D11">
        <v>6.0000000000000002E-6</v>
      </c>
      <c r="E11">
        <v>163955</v>
      </c>
      <c r="F11">
        <v>1.0066999999999999</v>
      </c>
      <c r="G11">
        <v>1.1599999999999999E-6</v>
      </c>
      <c r="H11">
        <v>6.0000000000000002E-6</v>
      </c>
      <c r="I11">
        <v>1936407</v>
      </c>
      <c r="J11">
        <f>IF(C11="BUY",J10+F11,J10-L10*E11)</f>
        <v>11.908899999999999</v>
      </c>
      <c r="K11">
        <f>IF(C11="BUY",K10+E11,K10-E11)</f>
        <v>1936407</v>
      </c>
      <c r="L11">
        <f>IF(K11&gt;0,J11/K11,0)</f>
        <v>6.1499984249179014E-6</v>
      </c>
      <c r="M11">
        <f>IF(C11="SELL",F11-L10*E11,0)</f>
        <v>0</v>
      </c>
      <c r="N11" s="2">
        <f>N10+IF(C11="SELL",M11,0)</f>
        <v>0</v>
      </c>
    </row>
    <row r="12" spans="1:14" x14ac:dyDescent="0.3">
      <c r="A12" s="25">
        <v>46141.012326388889</v>
      </c>
      <c r="B12" t="s">
        <v>6</v>
      </c>
      <c r="C12" t="s">
        <v>24</v>
      </c>
      <c r="D12">
        <v>6.0000000000000002E-6</v>
      </c>
      <c r="E12">
        <v>318058</v>
      </c>
      <c r="F12">
        <v>1.9529000000000001</v>
      </c>
      <c r="G12">
        <v>2.26E-6</v>
      </c>
      <c r="H12">
        <v>6.0000000000000002E-6</v>
      </c>
      <c r="I12">
        <v>2254465</v>
      </c>
      <c r="J12">
        <f>IF(C12="BUY",J11+F12,J11-L11*E12)</f>
        <v>13.861799999999999</v>
      </c>
      <c r="K12">
        <f>IF(C12="BUY",K11+E12,K11-E12)</f>
        <v>2254465</v>
      </c>
      <c r="L12">
        <f>IF(K12&gt;0,J12/K12,0)</f>
        <v>6.1485984479688082E-6</v>
      </c>
      <c r="M12">
        <f>IF(C12="SELL",F12-L11*E12,0)</f>
        <v>0</v>
      </c>
      <c r="N12" s="2">
        <f>N11+IF(C12="SELL",M12,0)</f>
        <v>0</v>
      </c>
    </row>
    <row r="13" spans="1:14" x14ac:dyDescent="0.3">
      <c r="A13" s="25">
        <v>46141.022800925923</v>
      </c>
      <c r="B13" t="s">
        <v>6</v>
      </c>
      <c r="C13" t="s">
        <v>24</v>
      </c>
      <c r="D13">
        <v>6.0000000000000002E-6</v>
      </c>
      <c r="E13">
        <v>298456</v>
      </c>
      <c r="F13">
        <v>1.8325</v>
      </c>
      <c r="G13">
        <v>2.12E-6</v>
      </c>
      <c r="H13">
        <v>6.0000000000000002E-6</v>
      </c>
      <c r="I13">
        <v>2552921</v>
      </c>
      <c r="J13">
        <f>IF(C13="BUY",J12+F13,J12-L12*E13)</f>
        <v>15.694299999999998</v>
      </c>
      <c r="K13">
        <f>IF(C13="BUY",K12+E13,K12-E13)</f>
        <v>2552921</v>
      </c>
      <c r="L13">
        <f>IF(K13&gt;0,J13/K13,0)</f>
        <v>6.1475854521154391E-6</v>
      </c>
      <c r="M13">
        <f>IF(C13="SELL",F13-L12*E13,0)</f>
        <v>0</v>
      </c>
      <c r="N13" s="2">
        <f>N12+IF(C13="SELL",M13,0)</f>
        <v>0</v>
      </c>
    </row>
    <row r="14" spans="1:14" x14ac:dyDescent="0.3">
      <c r="A14" s="25">
        <v>46141.033275462964</v>
      </c>
      <c r="B14" t="s">
        <v>6</v>
      </c>
      <c r="C14" t="s">
        <v>24</v>
      </c>
      <c r="D14">
        <v>6.0000000000000002E-6</v>
      </c>
      <c r="E14">
        <v>262642</v>
      </c>
      <c r="F14">
        <v>1.6152</v>
      </c>
      <c r="G14">
        <v>1.86E-6</v>
      </c>
      <c r="H14">
        <v>6.0000000000000002E-6</v>
      </c>
      <c r="I14">
        <v>2815563</v>
      </c>
      <c r="J14">
        <f>IF(C14="BUY",J13+F14,J13-L13*E14)</f>
        <v>17.3095</v>
      </c>
      <c r="K14">
        <f>IF(C14="BUY",K13+E14,K13-E14)</f>
        <v>2815563</v>
      </c>
      <c r="L14">
        <f>IF(K14&gt;0,J14/K14,0)</f>
        <v>6.1477935318797693E-6</v>
      </c>
      <c r="M14">
        <f>IF(C14="SELL",F14-L13*E14,0)</f>
        <v>0</v>
      </c>
      <c r="N14" s="2">
        <f>N13+IF(C14="SELL",M14,0)</f>
        <v>0</v>
      </c>
    </row>
    <row r="15" spans="1:14" x14ac:dyDescent="0.3">
      <c r="A15" s="25">
        <v>46141.043749999997</v>
      </c>
      <c r="B15" t="s">
        <v>6</v>
      </c>
      <c r="C15" t="s">
        <v>24</v>
      </c>
      <c r="D15">
        <v>6.0000000000000002E-6</v>
      </c>
      <c r="E15">
        <v>230683</v>
      </c>
      <c r="F15">
        <v>1.4187000000000001</v>
      </c>
      <c r="G15">
        <v>1.64E-6</v>
      </c>
      <c r="H15">
        <v>6.0000000000000002E-6</v>
      </c>
      <c r="I15">
        <v>3046246</v>
      </c>
      <c r="J15">
        <f>IF(C15="BUY",J14+F15,J14-L14*E15)</f>
        <v>18.728200000000001</v>
      </c>
      <c r="K15">
        <f>IF(C15="BUY",K14+E15,K14-E15)</f>
        <v>3046246</v>
      </c>
      <c r="L15">
        <f>IF(K15&gt;0,J15/K15,0)</f>
        <v>6.1479604733169948E-6</v>
      </c>
      <c r="M15">
        <f>IF(C15="SELL",F15-L14*E15,0)</f>
        <v>0</v>
      </c>
      <c r="N15" s="2">
        <f>N14+IF(C15="SELL",M15,0)</f>
        <v>0</v>
      </c>
    </row>
    <row r="16" spans="1:14" x14ac:dyDescent="0.3">
      <c r="A16" s="25">
        <v>46141.054224537038</v>
      </c>
      <c r="B16" t="s">
        <v>6</v>
      </c>
      <c r="C16" t="s">
        <v>24</v>
      </c>
      <c r="D16">
        <v>6.0000000000000002E-6</v>
      </c>
      <c r="E16">
        <v>1</v>
      </c>
      <c r="F16">
        <v>0</v>
      </c>
      <c r="G16">
        <v>1E-8</v>
      </c>
      <c r="H16">
        <v>6.0000000000000002E-6</v>
      </c>
      <c r="I16">
        <v>3046247</v>
      </c>
      <c r="J16">
        <f>IF(C16="BUY",J15+F16,J15-L15*E16)</f>
        <v>18.728200000000001</v>
      </c>
      <c r="K16">
        <f>IF(C16="BUY",K15+E16,K15-E16)</f>
        <v>3046247</v>
      </c>
      <c r="L16">
        <f>IF(K16&gt;0,J16/K16,0)</f>
        <v>6.1479584551088607E-6</v>
      </c>
      <c r="M16">
        <f>IF(C16="SELL",F16-L15*E16,0)</f>
        <v>0</v>
      </c>
      <c r="N16" s="2">
        <f>N15+IF(C16="SELL",M16,0)</f>
        <v>0</v>
      </c>
    </row>
    <row r="17" spans="1:14" x14ac:dyDescent="0.3">
      <c r="A17" s="25">
        <v>46141.054224537038</v>
      </c>
      <c r="B17" t="s">
        <v>6</v>
      </c>
      <c r="C17" t="s">
        <v>24</v>
      </c>
      <c r="D17">
        <v>6.0000000000000002E-6</v>
      </c>
      <c r="E17">
        <v>203330</v>
      </c>
      <c r="F17">
        <v>1.2484</v>
      </c>
      <c r="G17">
        <v>1.44E-6</v>
      </c>
      <c r="H17">
        <v>6.0000000000000002E-6</v>
      </c>
      <c r="I17">
        <v>3249577</v>
      </c>
      <c r="J17">
        <f>IF(C17="BUY",J16+F17,J16-L16*E17)</f>
        <v>19.976600000000001</v>
      </c>
      <c r="K17">
        <f>IF(C17="BUY",K16+E17,K16-E17)</f>
        <v>3249577</v>
      </c>
      <c r="L17">
        <f>IF(K17&gt;0,J17/K17,0)</f>
        <v>6.1474462676219094E-6</v>
      </c>
      <c r="M17">
        <f>IF(C17="SELL",F17-L16*E17,0)</f>
        <v>0</v>
      </c>
      <c r="N17" s="2">
        <f>N16+IF(C17="SELL",M17,0)</f>
        <v>0</v>
      </c>
    </row>
    <row r="18" spans="1:14" x14ac:dyDescent="0.3">
      <c r="A18" s="25">
        <v>46141.064699074072</v>
      </c>
      <c r="B18" t="s">
        <v>6</v>
      </c>
      <c r="C18" t="s">
        <v>24</v>
      </c>
      <c r="D18">
        <v>6.0000000000000002E-6</v>
      </c>
      <c r="E18">
        <v>191132</v>
      </c>
      <c r="F18">
        <v>1.1736</v>
      </c>
      <c r="G18">
        <v>1.35E-6</v>
      </c>
      <c r="H18">
        <v>6.0000000000000002E-6</v>
      </c>
      <c r="I18">
        <v>3440709</v>
      </c>
      <c r="J18">
        <f>IF(C18="BUY",J17+F18,J17-L17*E18)</f>
        <v>21.150200000000002</v>
      </c>
      <c r="K18">
        <f>IF(C18="BUY",K17+E18,K17-E18)</f>
        <v>3440709</v>
      </c>
      <c r="L18">
        <f>IF(K18&gt;0,J18/K18,0)</f>
        <v>6.1470470185069423E-6</v>
      </c>
      <c r="M18">
        <f>IF(C18="SELL",F18-L17*E18,0)</f>
        <v>0</v>
      </c>
      <c r="N18" s="2">
        <f>N17+IF(C18="SELL",M18,0)</f>
        <v>0</v>
      </c>
    </row>
    <row r="19" spans="1:14" x14ac:dyDescent="0.3">
      <c r="A19" s="25">
        <v>46141.075185185182</v>
      </c>
      <c r="B19" t="s">
        <v>6</v>
      </c>
      <c r="C19" t="s">
        <v>24</v>
      </c>
      <c r="D19">
        <v>6.0000000000000002E-6</v>
      </c>
      <c r="E19">
        <v>168856</v>
      </c>
      <c r="F19">
        <v>1.0402</v>
      </c>
      <c r="G19">
        <v>1.1999999999999999E-6</v>
      </c>
      <c r="H19">
        <v>6.0000000000000002E-6</v>
      </c>
      <c r="I19">
        <v>3609565</v>
      </c>
      <c r="J19">
        <f>IF(C19="BUY",J18+F19,J18-L18*E19)</f>
        <v>22.1904</v>
      </c>
      <c r="K19">
        <f>IF(C19="BUY",K18+E19,K18-E19)</f>
        <v>3609565</v>
      </c>
      <c r="L19">
        <f>IF(K19&gt;0,J19/K19,0)</f>
        <v>6.1476659929936153E-6</v>
      </c>
      <c r="M19">
        <f>IF(C19="SELL",F19-L18*E19,0)</f>
        <v>0</v>
      </c>
      <c r="N19" s="2">
        <f>N18+IF(C19="SELL",M19,0)</f>
        <v>0</v>
      </c>
    </row>
    <row r="20" spans="1:14" x14ac:dyDescent="0.3">
      <c r="A20" s="25">
        <v>46142.019444444442</v>
      </c>
      <c r="B20" t="s">
        <v>6</v>
      </c>
      <c r="C20" t="s">
        <v>24</v>
      </c>
      <c r="D20">
        <v>6.0000000000000002E-6</v>
      </c>
      <c r="E20">
        <v>236115</v>
      </c>
      <c r="F20">
        <v>1.4639</v>
      </c>
      <c r="G20">
        <v>1.68E-6</v>
      </c>
      <c r="H20">
        <v>6.0000000000000002E-6</v>
      </c>
      <c r="I20">
        <v>3845680</v>
      </c>
      <c r="J20">
        <f>IF(C20="BUY",J19+F20,J19-L19*E20)</f>
        <v>23.654299999999999</v>
      </c>
      <c r="K20">
        <f>IF(C20="BUY",K19+E20,K19-E20)</f>
        <v>3845680</v>
      </c>
      <c r="L20">
        <f>IF(K20&gt;0,J20/K20,0)</f>
        <v>6.1508757878970691E-6</v>
      </c>
      <c r="M20">
        <f>IF(C20="SELL",F20-L19*E20,0)</f>
        <v>0</v>
      </c>
      <c r="N20" s="2">
        <f>N19+IF(C20="SELL",M20,0)</f>
        <v>0</v>
      </c>
    </row>
    <row r="21" spans="1:14" x14ac:dyDescent="0.3">
      <c r="A21" s="25">
        <v>46142.029942129629</v>
      </c>
      <c r="B21" t="s">
        <v>6</v>
      </c>
      <c r="C21" t="s">
        <v>24</v>
      </c>
      <c r="D21">
        <v>6.0000000000000002E-6</v>
      </c>
      <c r="E21">
        <v>213451</v>
      </c>
      <c r="F21">
        <v>1.3298000000000001</v>
      </c>
      <c r="G21">
        <v>1.5099999999999999E-6</v>
      </c>
      <c r="H21">
        <v>6.0000000000000002E-6</v>
      </c>
      <c r="I21">
        <v>4059131</v>
      </c>
      <c r="J21">
        <f>IF(C21="BUY",J20+F21,J20-L20*E21)</f>
        <v>24.984099999999998</v>
      </c>
      <c r="K21">
        <f>IF(C21="BUY",K20+E21,K20-E21)</f>
        <v>4059131</v>
      </c>
      <c r="L21">
        <f>IF(K21&gt;0,J21/K21,0)</f>
        <v>6.1550366322249756E-6</v>
      </c>
      <c r="M21">
        <f>IF(C21="SELL",F21-L20*E21,0)</f>
        <v>0</v>
      </c>
      <c r="N21" s="2">
        <f>N20+IF(C21="SELL",M21,0)</f>
        <v>0</v>
      </c>
    </row>
    <row r="22" spans="1:14" x14ac:dyDescent="0.3">
      <c r="A22" s="25">
        <v>46142.040439814817</v>
      </c>
      <c r="B22" t="s">
        <v>6</v>
      </c>
      <c r="C22" t="s">
        <v>24</v>
      </c>
      <c r="D22">
        <v>6.0000000000000002E-6</v>
      </c>
      <c r="E22">
        <v>174142</v>
      </c>
      <c r="F22">
        <v>1.0919000000000001</v>
      </c>
      <c r="G22">
        <v>1.2300000000000001E-6</v>
      </c>
      <c r="H22">
        <v>6.0000000000000002E-6</v>
      </c>
      <c r="I22">
        <v>4233273</v>
      </c>
      <c r="J22">
        <f>IF(C22="BUY",J21+F22,J21-L21*E22)</f>
        <v>26.075999999999997</v>
      </c>
      <c r="K22">
        <f>IF(C22="BUY",K21+E22,K21-E22)</f>
        <v>4233273</v>
      </c>
      <c r="L22">
        <f>IF(K22&gt;0,J22/K22,0)</f>
        <v>6.1597728282584179E-6</v>
      </c>
      <c r="M22">
        <f>IF(C22="SELL",F22-L21*E22,0)</f>
        <v>0</v>
      </c>
      <c r="N22" s="2">
        <f>N21+IF(C22="SELL",M22,0)</f>
        <v>0</v>
      </c>
    </row>
    <row r="23" spans="1:14" x14ac:dyDescent="0.3">
      <c r="A23" s="25">
        <v>46146.853796296295</v>
      </c>
      <c r="B23" t="s">
        <v>6</v>
      </c>
      <c r="C23" t="s">
        <v>23</v>
      </c>
      <c r="D23">
        <v>6.0000000000000002E-6</v>
      </c>
      <c r="E23">
        <v>2116636</v>
      </c>
      <c r="F23">
        <v>13.0808</v>
      </c>
      <c r="G23">
        <v>1.4929999999999999E-5</v>
      </c>
      <c r="H23">
        <v>6.0000000000000002E-6</v>
      </c>
      <c r="I23">
        <v>2116637</v>
      </c>
      <c r="J23">
        <f>IF(C23="BUY",J22+F23,J22-L22*E23)</f>
        <v>13.038003079886412</v>
      </c>
      <c r="K23">
        <f>IF(C23="BUY",K22+E23,K22-E23)</f>
        <v>2116637</v>
      </c>
      <c r="L23">
        <f>IF(K23&gt;0,J23/K23,0)</f>
        <v>6.159772828258417E-6</v>
      </c>
      <c r="M23">
        <f>IF(C23="SELL",F23-L22*E23,0)</f>
        <v>4.2803079886414963E-2</v>
      </c>
      <c r="N23" s="2">
        <f>N22+IF(C23="SELL",M23,0)</f>
        <v>4.2803079886414963E-2</v>
      </c>
    </row>
    <row r="24" spans="1:14" x14ac:dyDescent="0.3">
      <c r="A24" s="25">
        <v>46146.853888888887</v>
      </c>
      <c r="B24" t="s">
        <v>6</v>
      </c>
      <c r="C24" t="s">
        <v>23</v>
      </c>
      <c r="D24">
        <v>6.0000000000000002E-6</v>
      </c>
      <c r="E24">
        <v>1693309</v>
      </c>
      <c r="F24">
        <v>10.464600000000001</v>
      </c>
      <c r="G24">
        <v>1.1939999999999999E-5</v>
      </c>
      <c r="H24">
        <v>6.0000000000000002E-6</v>
      </c>
      <c r="I24">
        <v>423328</v>
      </c>
      <c r="J24">
        <f>IF(C24="BUY",J23+F24,J23-L23*E24)</f>
        <v>2.60760431184098</v>
      </c>
      <c r="K24">
        <f>IF(C24="BUY",K23+E24,K23-E24)</f>
        <v>423328</v>
      </c>
      <c r="L24">
        <f>IF(K24&gt;0,J24/K24,0)</f>
        <v>6.1597728282584187E-6</v>
      </c>
      <c r="M24">
        <f>IF(C24="SELL",F24-L23*E24,0)</f>
        <v>3.4201231954568811E-2</v>
      </c>
      <c r="N24" s="2">
        <f>N23+IF(C24="SELL",M24,0)</f>
        <v>7.7004311840983775E-2</v>
      </c>
    </row>
    <row r="25" spans="1:14" x14ac:dyDescent="0.3">
      <c r="A25" s="25">
        <v>46146.864282407405</v>
      </c>
      <c r="B25" t="s">
        <v>6</v>
      </c>
      <c r="C25" t="s">
        <v>23</v>
      </c>
      <c r="D25">
        <v>6.0000000000000002E-6</v>
      </c>
      <c r="E25">
        <v>211664</v>
      </c>
      <c r="F25">
        <v>1.3081</v>
      </c>
      <c r="G25">
        <v>1.4899999999999999E-6</v>
      </c>
      <c r="H25">
        <v>6.0000000000000002E-6</v>
      </c>
      <c r="I25">
        <v>211664</v>
      </c>
      <c r="J25">
        <f>IF(C25="BUY",J24+F25,J24-L24*E25)</f>
        <v>1.30380215592049</v>
      </c>
      <c r="K25">
        <f>IF(C25="BUY",K24+E25,K24-E25)</f>
        <v>211664</v>
      </c>
      <c r="L25">
        <f>IF(K25&gt;0,J25/K25,0)</f>
        <v>6.1597728282584187E-6</v>
      </c>
      <c r="M25">
        <f>IF(C25="SELL",F25-L24*E25,0)</f>
        <v>4.2978440795100603E-3</v>
      </c>
      <c r="N25" s="2">
        <f>N24+IF(C25="SELL",M25,0)</f>
        <v>8.1302155920493835E-2</v>
      </c>
    </row>
    <row r="26" spans="1:14" x14ac:dyDescent="0.3">
      <c r="A26" s="25">
        <v>46146.864351851851</v>
      </c>
      <c r="B26" t="s">
        <v>6</v>
      </c>
      <c r="C26" t="s">
        <v>23</v>
      </c>
      <c r="D26">
        <v>6.0000000000000002E-6</v>
      </c>
      <c r="E26">
        <v>169331</v>
      </c>
      <c r="F26">
        <v>1.0465</v>
      </c>
      <c r="G26">
        <v>1.19E-6</v>
      </c>
      <c r="H26">
        <v>6.0000000000000002E-6</v>
      </c>
      <c r="I26">
        <v>42333</v>
      </c>
      <c r="J26">
        <f>IF(C26="BUY",J25+F26,J25-L25*E26)</f>
        <v>0.26076166313866378</v>
      </c>
      <c r="K26">
        <f>IF(C26="BUY",K25+E26,K25-E26)</f>
        <v>42333</v>
      </c>
      <c r="L26">
        <f>IF(K26&gt;0,J26/K26,0)</f>
        <v>6.1597728282584221E-6</v>
      </c>
      <c r="M26">
        <f>IF(C26="SELL",F26-L25*E26,0)</f>
        <v>3.4595072181737851E-3</v>
      </c>
      <c r="N26" s="2">
        <f>N25+IF(C26="SELL",M26,0)</f>
        <v>8.476166313866762E-2</v>
      </c>
    </row>
    <row r="27" spans="1:14" x14ac:dyDescent="0.3">
      <c r="A27" s="25">
        <v>46146.906192129631</v>
      </c>
      <c r="B27" t="s">
        <v>6</v>
      </c>
      <c r="C27" t="s">
        <v>24</v>
      </c>
      <c r="D27">
        <v>6.0000000000000002E-6</v>
      </c>
      <c r="E27">
        <v>604820</v>
      </c>
      <c r="F27">
        <v>3.7559</v>
      </c>
      <c r="G27">
        <v>4.3000000000000003E-6</v>
      </c>
      <c r="H27">
        <v>6.0000000000000002E-6</v>
      </c>
      <c r="I27">
        <v>647153</v>
      </c>
      <c r="J27">
        <f>IF(C27="BUY",J26+F27,J26-L26*E27)</f>
        <v>4.016661663138664</v>
      </c>
      <c r="K27">
        <f>IF(C27="BUY",K26+E27,K26-E27)</f>
        <v>647153</v>
      </c>
      <c r="L27">
        <f>IF(K27&gt;0,J27/K27,0)</f>
        <v>6.2066646730196167E-6</v>
      </c>
      <c r="M27">
        <f>IF(C27="SELL",F27-L26*E27,0)</f>
        <v>0</v>
      </c>
      <c r="N27" s="2">
        <f>N26+IF(C27="SELL",M27,0)</f>
        <v>8.476166313866762E-2</v>
      </c>
    </row>
    <row r="28" spans="1:14" x14ac:dyDescent="0.3">
      <c r="A28" s="25">
        <v>46146.916689814818</v>
      </c>
      <c r="B28" t="s">
        <v>6</v>
      </c>
      <c r="C28" t="s">
        <v>23</v>
      </c>
      <c r="D28">
        <v>6.0000000000000002E-6</v>
      </c>
      <c r="E28">
        <v>323576</v>
      </c>
      <c r="F28">
        <v>2.0062000000000002</v>
      </c>
      <c r="G28">
        <v>2.2800000000000002E-6</v>
      </c>
      <c r="H28">
        <v>6.0000000000000002E-6</v>
      </c>
      <c r="I28">
        <v>323577</v>
      </c>
      <c r="J28">
        <f>IF(C28="BUY",J27+F28,J27-L27*E28)</f>
        <v>2.0083339349016684</v>
      </c>
      <c r="K28">
        <f>IF(C28="BUY",K27+E28,K27-E28)</f>
        <v>323577</v>
      </c>
      <c r="L28">
        <f>IF(K28&gt;0,J28/K28,0)</f>
        <v>6.2066646730196167E-6</v>
      </c>
      <c r="M28">
        <f>IF(C28="SELL",F28-L27*E28,0)</f>
        <v>-2.1277282369953632E-3</v>
      </c>
      <c r="N28" s="2">
        <f>N27+IF(C28="SELL",M28,0)</f>
        <v>8.2633934901672257E-2</v>
      </c>
    </row>
    <row r="29" spans="1:14" ht="15" thickBot="1" x14ac:dyDescent="0.35">
      <c r="A29" s="23">
        <v>46146.927164351851</v>
      </c>
      <c r="B29" s="22" t="s">
        <v>6</v>
      </c>
      <c r="C29" s="22" t="s">
        <v>23</v>
      </c>
      <c r="D29" s="22">
        <v>6.0000000000000002E-6</v>
      </c>
      <c r="E29" s="22">
        <v>161788</v>
      </c>
      <c r="F29" s="22">
        <v>1.0046999999999999</v>
      </c>
      <c r="G29" s="22">
        <v>1.1400000000000001E-6</v>
      </c>
      <c r="H29" s="22">
        <v>6.0000000000000002E-6</v>
      </c>
      <c r="I29" s="22">
        <v>161789</v>
      </c>
      <c r="J29" s="22">
        <f>IF(C29="BUY",J28+F29,J28-L28*E29)</f>
        <v>1.0041700707831707</v>
      </c>
      <c r="K29" s="22">
        <f>IF(C29="BUY",K28+E29,K28-E29)</f>
        <v>161789</v>
      </c>
      <c r="L29" s="22">
        <f>IF(K29&gt;0,J29/K29,0)</f>
        <v>6.2066646730196159E-6</v>
      </c>
      <c r="M29" s="22">
        <f>IF(C29="SELL",F29-L28*E29,0)</f>
        <v>5.361358815021422E-4</v>
      </c>
      <c r="N29" s="21">
        <f>N28+IF(C29="SELL",M29,0)</f>
        <v>8.3170070783174399E-2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4426E-F80C-405C-8423-6E1BBF60FC90}">
  <dimension ref="A1:N14"/>
  <sheetViews>
    <sheetView workbookViewId="0">
      <selection activeCell="K22" sqref="K22"/>
    </sheetView>
  </sheetViews>
  <sheetFormatPr defaultRowHeight="14.4" x14ac:dyDescent="0.3"/>
  <cols>
    <col min="1" max="1" width="15.109375" customWidth="1"/>
    <col min="6" max="6" width="11.21875" customWidth="1"/>
    <col min="7" max="7" width="13.5546875" customWidth="1"/>
    <col min="8" max="8" width="10.6640625" customWidth="1"/>
    <col min="9" max="9" width="11.44140625" customWidth="1"/>
    <col min="10" max="10" width="14.77734375" customWidth="1"/>
    <col min="12" max="12" width="13.109375" customWidth="1"/>
    <col min="13" max="13" width="14.109375" customWidth="1"/>
    <col min="14" max="14" width="12.5546875" customWidth="1"/>
  </cols>
  <sheetData>
    <row r="1" spans="1:14" x14ac:dyDescent="0.3">
      <c r="A1" s="35" t="s">
        <v>38</v>
      </c>
      <c r="B1" s="34" t="s">
        <v>37</v>
      </c>
      <c r="C1" s="34" t="s">
        <v>36</v>
      </c>
      <c r="D1" s="34" t="s">
        <v>2</v>
      </c>
      <c r="E1" s="34" t="s">
        <v>35</v>
      </c>
      <c r="F1" s="34" t="s">
        <v>34</v>
      </c>
      <c r="G1" s="34" t="s">
        <v>33</v>
      </c>
      <c r="H1" s="34" t="s">
        <v>32</v>
      </c>
      <c r="I1" s="34" t="s">
        <v>31</v>
      </c>
      <c r="J1" s="32" t="s">
        <v>30</v>
      </c>
      <c r="K1" s="32" t="s">
        <v>29</v>
      </c>
      <c r="L1" s="32" t="s">
        <v>28</v>
      </c>
      <c r="M1" s="32" t="s">
        <v>27</v>
      </c>
      <c r="N1" s="31" t="s">
        <v>26</v>
      </c>
    </row>
    <row r="2" spans="1:14" x14ac:dyDescent="0.3">
      <c r="A2" s="41"/>
      <c r="B2" s="40"/>
      <c r="C2" s="40"/>
      <c r="D2" s="40"/>
      <c r="E2" s="40"/>
      <c r="F2" s="40"/>
      <c r="G2" s="40"/>
      <c r="H2" s="40"/>
      <c r="I2" s="40"/>
      <c r="J2">
        <v>0</v>
      </c>
      <c r="K2">
        <v>0</v>
      </c>
      <c r="L2">
        <v>0</v>
      </c>
      <c r="M2">
        <v>0</v>
      </c>
      <c r="N2" s="2">
        <v>0</v>
      </c>
    </row>
    <row r="3" spans="1:14" x14ac:dyDescent="0.3">
      <c r="A3" s="1"/>
      <c r="N3" s="2"/>
    </row>
    <row r="4" spans="1:14" x14ac:dyDescent="0.3">
      <c r="A4" s="25">
        <v>46139.402754629627</v>
      </c>
      <c r="B4" t="s">
        <v>7</v>
      </c>
      <c r="C4" t="s">
        <v>24</v>
      </c>
      <c r="D4">
        <v>0.3246</v>
      </c>
      <c r="E4">
        <v>48.1</v>
      </c>
      <c r="F4">
        <v>15.613300000000001</v>
      </c>
      <c r="G4">
        <v>1.77E-5</v>
      </c>
      <c r="H4">
        <v>0.3246</v>
      </c>
      <c r="I4">
        <v>48.1</v>
      </c>
      <c r="J4">
        <f>IF(C4="BUY",J2+F4,J2-L2*E4)</f>
        <v>15.613300000000001</v>
      </c>
      <c r="K4">
        <f>IF(C4="BUY",K2+E4,K2-E4)</f>
        <v>48.1</v>
      </c>
      <c r="L4">
        <f>IF(K4&gt;0,J4/K4,0)</f>
        <v>0.32460083160083159</v>
      </c>
      <c r="M4">
        <f>IF(C4="SELL",F4-L2*E4,0)</f>
        <v>0</v>
      </c>
      <c r="N4" s="2">
        <f>N2+IF(C4="SELL",M4,0)</f>
        <v>0</v>
      </c>
    </row>
    <row r="5" spans="1:14" x14ac:dyDescent="0.3">
      <c r="A5" s="25">
        <v>46139.410567129627</v>
      </c>
      <c r="B5" t="s">
        <v>7</v>
      </c>
      <c r="C5" t="s">
        <v>24</v>
      </c>
      <c r="D5">
        <v>0.32469999999999999</v>
      </c>
      <c r="E5">
        <v>35.6</v>
      </c>
      <c r="F5">
        <v>11.5593</v>
      </c>
      <c r="G5">
        <v>1.31E-5</v>
      </c>
      <c r="H5">
        <v>0.32464300000000001</v>
      </c>
      <c r="I5">
        <v>83.7</v>
      </c>
      <c r="J5">
        <f>IF(C5="BUY",J4+F5,J4-L4*E5)</f>
        <v>27.172600000000003</v>
      </c>
      <c r="K5">
        <f>IF(C5="BUY",K4+E5,K4-E5)</f>
        <v>83.7</v>
      </c>
      <c r="L5">
        <f>IF(K5&gt;0,J5/K5,0)</f>
        <v>0.32464277180406215</v>
      </c>
      <c r="M5">
        <f>IF(C5="SELL",F5-L4*E5,0)</f>
        <v>0</v>
      </c>
      <c r="N5" s="2">
        <f>N4+IF(C5="SELL",M5,0)</f>
        <v>0</v>
      </c>
    </row>
    <row r="6" spans="1:14" x14ac:dyDescent="0.3">
      <c r="A6" s="25">
        <v>46139.444513888891</v>
      </c>
      <c r="B6" t="s">
        <v>7</v>
      </c>
      <c r="C6" t="s">
        <v>24</v>
      </c>
      <c r="D6">
        <v>0.32550000000000001</v>
      </c>
      <c r="E6">
        <v>26.2</v>
      </c>
      <c r="F6">
        <v>8.5281000000000002</v>
      </c>
      <c r="G6">
        <v>9.6700000000000006E-6</v>
      </c>
      <c r="H6">
        <v>0.324847</v>
      </c>
      <c r="I6">
        <v>109.9</v>
      </c>
      <c r="J6">
        <f>IF(C6="BUY",J5+F6,J5-L5*E6)</f>
        <v>35.700700000000005</v>
      </c>
      <c r="K6">
        <f>IF(C6="BUY",K5+E6,K5-E6)</f>
        <v>109.9</v>
      </c>
      <c r="L6">
        <f>IF(K6&gt;0,J6/K6,0)</f>
        <v>0.32484713375796181</v>
      </c>
      <c r="M6">
        <f>IF(C6="SELL",F6-L5*E6,0)</f>
        <v>0</v>
      </c>
      <c r="N6" s="2">
        <f>N5+IF(C6="SELL",M6,0)</f>
        <v>0</v>
      </c>
    </row>
    <row r="7" spans="1:14" x14ac:dyDescent="0.3">
      <c r="A7" s="25">
        <v>46139.4684375</v>
      </c>
      <c r="B7" t="s">
        <v>7</v>
      </c>
      <c r="C7" t="s">
        <v>24</v>
      </c>
      <c r="D7">
        <v>0.32529999999999998</v>
      </c>
      <c r="E7">
        <v>19.399999999999999</v>
      </c>
      <c r="F7">
        <v>6.3108000000000004</v>
      </c>
      <c r="G7">
        <v>7.17E-6</v>
      </c>
      <c r="H7">
        <v>0.32491500000000001</v>
      </c>
      <c r="I7">
        <v>129.30000000000001</v>
      </c>
      <c r="J7">
        <f>IF(C7="BUY",J6+F7,J6-L6*E7)</f>
        <v>42.011500000000005</v>
      </c>
      <c r="K7">
        <f>IF(C7="BUY",K6+E7,K6-E7)</f>
        <v>129.30000000000001</v>
      </c>
      <c r="L7">
        <f>IF(K7&gt;0,J7/K7,0)</f>
        <v>0.32491492652745552</v>
      </c>
      <c r="M7">
        <f>IF(C7="SELL",F7-L6*E7,0)</f>
        <v>0</v>
      </c>
      <c r="N7" s="2">
        <f>N6+IF(C7="SELL",M7,0)</f>
        <v>0</v>
      </c>
    </row>
    <row r="8" spans="1:14" x14ac:dyDescent="0.3">
      <c r="A8" s="25">
        <v>46140.793275462966</v>
      </c>
      <c r="B8" t="s">
        <v>7</v>
      </c>
      <c r="C8" t="s">
        <v>23</v>
      </c>
      <c r="D8">
        <v>0.32350000000000001</v>
      </c>
      <c r="E8">
        <v>110</v>
      </c>
      <c r="F8">
        <v>35.585000000000001</v>
      </c>
      <c r="G8">
        <v>4.0649999999999999E-5</v>
      </c>
      <c r="H8">
        <v>0.32491500000000001</v>
      </c>
      <c r="I8">
        <v>19.3</v>
      </c>
      <c r="J8">
        <f>IF(C8="BUY",J7+F8,J7-L7*E8)</f>
        <v>6.2708580819798954</v>
      </c>
      <c r="K8">
        <f>IF(C8="BUY",K7+E8,K7-E8)</f>
        <v>19.300000000000011</v>
      </c>
      <c r="L8">
        <f>IF(K8&gt;0,J8/K8,0)</f>
        <v>0.32491492652745552</v>
      </c>
      <c r="M8">
        <f>IF(C8="SELL",F8-L7*E8,0)</f>
        <v>-0.15564191802010896</v>
      </c>
      <c r="N8" s="2">
        <f>N7+IF(C8="SELL",M8,0)</f>
        <v>-0.15564191802010896</v>
      </c>
    </row>
    <row r="9" spans="1:14" x14ac:dyDescent="0.3">
      <c r="A9" s="25">
        <v>46146.864247685182</v>
      </c>
      <c r="B9" t="s">
        <v>7</v>
      </c>
      <c r="C9" t="s">
        <v>24</v>
      </c>
      <c r="D9">
        <v>0.34110000000000001</v>
      </c>
      <c r="E9">
        <v>26.4</v>
      </c>
      <c r="F9">
        <v>9.0050000000000008</v>
      </c>
      <c r="G9">
        <v>1.029E-5</v>
      </c>
      <c r="H9">
        <v>0.33426499999999998</v>
      </c>
      <c r="I9">
        <v>45.7</v>
      </c>
      <c r="J9">
        <f>IF(C9="BUY",J8+F9,J8-L8*E9)</f>
        <v>15.275858081979896</v>
      </c>
      <c r="K9">
        <f>IF(C9="BUY",K8+E9,K8-E9)</f>
        <v>45.70000000000001</v>
      </c>
      <c r="L9">
        <f>IF(K9&gt;0,J9/K9,0)</f>
        <v>0.33426385299737182</v>
      </c>
      <c r="M9">
        <f>IF(C9="SELL",F9-L8*E9,0)</f>
        <v>0</v>
      </c>
      <c r="N9" s="2">
        <f>N8+IF(C9="SELL",M9,0)</f>
        <v>-0.15564191802010896</v>
      </c>
    </row>
    <row r="10" spans="1:14" x14ac:dyDescent="0.3">
      <c r="A10" s="25">
        <v>46146.874722222223</v>
      </c>
      <c r="B10" t="s">
        <v>7</v>
      </c>
      <c r="C10" t="s">
        <v>24</v>
      </c>
      <c r="D10">
        <v>0.34110000000000001</v>
      </c>
      <c r="E10">
        <v>20.8</v>
      </c>
      <c r="F10">
        <v>7.0949</v>
      </c>
      <c r="G10">
        <v>8.1000000000000004E-6</v>
      </c>
      <c r="H10">
        <v>0.33640300000000001</v>
      </c>
      <c r="I10">
        <v>66.5</v>
      </c>
      <c r="J10">
        <f>IF(C10="BUY",J9+F10,J9-L9*E10)</f>
        <v>22.370758081979897</v>
      </c>
      <c r="K10">
        <f>IF(C10="BUY",K9+E10,K9-E10)</f>
        <v>66.500000000000014</v>
      </c>
      <c r="L10">
        <f>IF(K10&gt;0,J10/K10,0)</f>
        <v>0.33640237717262994</v>
      </c>
      <c r="M10">
        <f>IF(C10="SELL",F10-L9*E10,0)</f>
        <v>0</v>
      </c>
      <c r="N10" s="2">
        <f>N9+IF(C10="SELL",M10,0)</f>
        <v>-0.15564191802010896</v>
      </c>
    </row>
    <row r="11" spans="1:14" x14ac:dyDescent="0.3">
      <c r="A11" s="25">
        <v>46146.885196759256</v>
      </c>
      <c r="B11" t="s">
        <v>7</v>
      </c>
      <c r="C11" t="s">
        <v>24</v>
      </c>
      <c r="D11">
        <v>0.3412</v>
      </c>
      <c r="E11">
        <v>14.9</v>
      </c>
      <c r="F11">
        <v>5.0838999999999999</v>
      </c>
      <c r="G11">
        <v>5.8000000000000004E-6</v>
      </c>
      <c r="H11">
        <v>0.337281</v>
      </c>
      <c r="I11">
        <v>81.400000000000006</v>
      </c>
      <c r="J11">
        <f>IF(C11="BUY",J10+F11,J10-L10*E11)</f>
        <v>27.454658081979897</v>
      </c>
      <c r="K11">
        <f>IF(C11="BUY",K10+E11,K10-E11)</f>
        <v>81.40000000000002</v>
      </c>
      <c r="L11">
        <f>IF(K11&gt;0,J11/K11,0)</f>
        <v>0.33728081181793479</v>
      </c>
      <c r="M11">
        <f>IF(C11="SELL",F11-L10*E11,0)</f>
        <v>0</v>
      </c>
      <c r="N11" s="2">
        <f>N10+IF(C11="SELL",M11,0)</f>
        <v>-0.15564191802010896</v>
      </c>
    </row>
    <row r="12" spans="1:14" x14ac:dyDescent="0.3">
      <c r="A12" s="25">
        <v>46146.95853009259</v>
      </c>
      <c r="B12" t="s">
        <v>7</v>
      </c>
      <c r="C12" t="s">
        <v>24</v>
      </c>
      <c r="D12">
        <v>0.3407</v>
      </c>
      <c r="E12">
        <v>14.7</v>
      </c>
      <c r="F12">
        <v>5.0083000000000002</v>
      </c>
      <c r="G12">
        <v>5.6999999999999996E-6</v>
      </c>
      <c r="H12">
        <v>0.33780399999999999</v>
      </c>
      <c r="I12">
        <v>96.1</v>
      </c>
      <c r="J12">
        <f>IF(C12="BUY",J11+F12,J11-L11*E12)</f>
        <v>32.462958081979899</v>
      </c>
      <c r="K12">
        <f>IF(C12="BUY",K11+E12,K11-E12)</f>
        <v>96.100000000000023</v>
      </c>
      <c r="L12">
        <f>IF(K12&gt;0,J12/K12,0)</f>
        <v>0.3378039342557741</v>
      </c>
      <c r="M12">
        <f>IF(C12="SELL",F12-L11*E12,0)</f>
        <v>0</v>
      </c>
      <c r="N12" s="2">
        <f>N11+IF(C12="SELL",M12,0)</f>
        <v>-0.15564191802010896</v>
      </c>
    </row>
    <row r="13" spans="1:14" x14ac:dyDescent="0.3">
      <c r="A13" s="25">
        <v>46147.104884259257</v>
      </c>
      <c r="B13" t="s">
        <v>7</v>
      </c>
      <c r="C13" t="s">
        <v>23</v>
      </c>
      <c r="D13">
        <v>0.34010000000000001</v>
      </c>
      <c r="E13">
        <v>76.8</v>
      </c>
      <c r="F13">
        <v>26.119700000000002</v>
      </c>
      <c r="G13">
        <v>2.9750000000000001E-5</v>
      </c>
      <c r="H13">
        <v>0.33780399999999999</v>
      </c>
      <c r="I13">
        <v>19.3</v>
      </c>
      <c r="J13">
        <f>IF(C13="BUY",J12+F13,J12-L12*E13)</f>
        <v>6.5196159311364497</v>
      </c>
      <c r="K13">
        <f>IF(C13="BUY",K12+E13,K12-E13)</f>
        <v>19.300000000000026</v>
      </c>
      <c r="L13">
        <f>IF(K13&gt;0,J13/K13,0)</f>
        <v>0.33780393425577415</v>
      </c>
      <c r="M13">
        <f>IF(C13="SELL",F13-L12*E13,0)</f>
        <v>0.1763578491565525</v>
      </c>
      <c r="N13" s="2">
        <f>N12+IF(C13="SELL",M13,0)</f>
        <v>2.0715931136443544E-2</v>
      </c>
    </row>
    <row r="14" spans="1:14" ht="15" thickBot="1" x14ac:dyDescent="0.35">
      <c r="A14" s="23">
        <v>46147.115358796298</v>
      </c>
      <c r="B14" s="22" t="s">
        <v>7</v>
      </c>
      <c r="C14" s="22" t="s">
        <v>23</v>
      </c>
      <c r="D14" s="22">
        <v>0.34029999999999999</v>
      </c>
      <c r="E14" s="22">
        <v>15.4</v>
      </c>
      <c r="F14" s="22">
        <v>5.2405999999999997</v>
      </c>
      <c r="G14" s="22">
        <v>5.9499999999999998E-6</v>
      </c>
      <c r="H14" s="22">
        <v>0.33780399999999999</v>
      </c>
      <c r="I14" s="22">
        <v>3.9</v>
      </c>
      <c r="J14" s="22">
        <f>IF(C14="BUY",J13+F14,J13-L13*E14)</f>
        <v>1.3174353435975279</v>
      </c>
      <c r="K14" s="22">
        <f>IF(C14="BUY",K13+E14,K13-E14)</f>
        <v>3.9000000000000252</v>
      </c>
      <c r="L14" s="22">
        <f>IF(K14&gt;0,J14/K14,0)</f>
        <v>0.33780393425577421</v>
      </c>
      <c r="M14" s="22">
        <f>IF(C14="SELL",F14-L13*E14,0)</f>
        <v>3.841941246107794E-2</v>
      </c>
      <c r="N14" s="21">
        <f>N13+IF(C14="SELL",M14,0)</f>
        <v>5.9135343597521484E-2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E7A8-FD62-4AA8-ACAF-37C768B3C156}">
  <dimension ref="A1:N6"/>
  <sheetViews>
    <sheetView workbookViewId="0">
      <selection activeCell="H25" sqref="H25"/>
    </sheetView>
  </sheetViews>
  <sheetFormatPr defaultRowHeight="14.4" x14ac:dyDescent="0.3"/>
  <cols>
    <col min="1" max="1" width="16" customWidth="1"/>
    <col min="7" max="7" width="13.109375" customWidth="1"/>
    <col min="9" max="9" width="12" customWidth="1"/>
    <col min="10" max="10" width="14.33203125" customWidth="1"/>
    <col min="12" max="12" width="13" customWidth="1"/>
    <col min="13" max="13" width="13.5546875" customWidth="1"/>
    <col min="14" max="14" width="12.6640625" customWidth="1"/>
  </cols>
  <sheetData>
    <row r="1" spans="1:14" x14ac:dyDescent="0.3">
      <c r="A1" s="47" t="s">
        <v>38</v>
      </c>
      <c r="B1" s="46" t="s">
        <v>37</v>
      </c>
      <c r="C1" s="46" t="s">
        <v>36</v>
      </c>
      <c r="D1" s="46" t="s">
        <v>2</v>
      </c>
      <c r="E1" s="46" t="s">
        <v>35</v>
      </c>
      <c r="F1" s="46" t="s">
        <v>34</v>
      </c>
      <c r="G1" s="46" t="s">
        <v>33</v>
      </c>
      <c r="H1" s="46" t="s">
        <v>32</v>
      </c>
      <c r="I1" s="46" t="s">
        <v>31</v>
      </c>
      <c r="J1" s="43" t="s">
        <v>30</v>
      </c>
      <c r="K1" s="43" t="s">
        <v>29</v>
      </c>
      <c r="L1" s="43" t="s">
        <v>28</v>
      </c>
      <c r="M1" s="43" t="s">
        <v>27</v>
      </c>
      <c r="N1" s="42" t="s">
        <v>26</v>
      </c>
    </row>
    <row r="2" spans="1:14" x14ac:dyDescent="0.3">
      <c r="A2" s="1"/>
      <c r="J2">
        <v>0</v>
      </c>
      <c r="K2">
        <v>0</v>
      </c>
      <c r="L2">
        <v>0</v>
      </c>
      <c r="M2">
        <v>0</v>
      </c>
      <c r="N2" s="2">
        <v>0</v>
      </c>
    </row>
    <row r="3" spans="1:14" x14ac:dyDescent="0.3">
      <c r="A3" s="1"/>
      <c r="N3" s="2"/>
    </row>
    <row r="4" spans="1:14" x14ac:dyDescent="0.3">
      <c r="A4" s="25">
        <v>46138.873055555552</v>
      </c>
      <c r="B4" t="s">
        <v>43</v>
      </c>
      <c r="C4" t="s">
        <v>24</v>
      </c>
      <c r="D4">
        <v>1.4285000000000001</v>
      </c>
      <c r="E4">
        <v>6.1</v>
      </c>
      <c r="F4">
        <v>8.7139000000000006</v>
      </c>
      <c r="G4">
        <v>9.7699999999999996E-6</v>
      </c>
      <c r="H4">
        <v>1.4285000000000001</v>
      </c>
      <c r="I4">
        <v>6.1</v>
      </c>
      <c r="J4">
        <f>IF(C4="BUY",J2+F4,J2-L2*E4)</f>
        <v>8.7139000000000006</v>
      </c>
      <c r="K4">
        <f>IF(C4="BUY",K2+E4,K2-E4)</f>
        <v>6.1</v>
      </c>
      <c r="L4">
        <f>IF(K4&gt;0,J4/K4,0)</f>
        <v>1.4285081967213116</v>
      </c>
      <c r="M4">
        <f>IF(C4="SELL",F4-L2*E4,0)</f>
        <v>0</v>
      </c>
      <c r="N4" s="2">
        <f>N2+IF(C4="SELL",M4,0)</f>
        <v>0</v>
      </c>
    </row>
    <row r="5" spans="1:14" x14ac:dyDescent="0.3">
      <c r="A5" s="25">
        <v>46146.853888888887</v>
      </c>
      <c r="B5" t="s">
        <v>8</v>
      </c>
      <c r="C5" t="s">
        <v>23</v>
      </c>
      <c r="D5">
        <v>1.3937999999999999</v>
      </c>
      <c r="E5">
        <v>4</v>
      </c>
      <c r="F5">
        <v>5.5751999999999997</v>
      </c>
      <c r="G5">
        <v>6.3600000000000001E-6</v>
      </c>
      <c r="H5">
        <v>1.4285000000000001</v>
      </c>
      <c r="I5">
        <v>2.1</v>
      </c>
      <c r="J5">
        <f>IF(C5="BUY",J4+F5,J4-L4*E5)</f>
        <v>2.9998672131147543</v>
      </c>
      <c r="K5">
        <f>IF(C5="BUY",K4+E5,K4-E5)</f>
        <v>2.0999999999999996</v>
      </c>
      <c r="L5">
        <f>IF(K5&gt;0,J5/K5,0)</f>
        <v>1.4285081967213118</v>
      </c>
      <c r="M5">
        <f>IF(C5="SELL",F5-L4*E5,0)</f>
        <v>-0.13883278688524658</v>
      </c>
      <c r="N5" s="2">
        <f>N4+IF(C5="SELL",M5,0)</f>
        <v>-0.13883278688524658</v>
      </c>
    </row>
    <row r="6" spans="1:14" ht="15" thickBot="1" x14ac:dyDescent="0.35">
      <c r="A6" s="23">
        <v>46146.853888888887</v>
      </c>
      <c r="B6" s="22" t="s">
        <v>8</v>
      </c>
      <c r="C6" s="22" t="s">
        <v>23</v>
      </c>
      <c r="D6" s="22">
        <v>1.3937999999999999</v>
      </c>
      <c r="E6" s="22">
        <v>0.8</v>
      </c>
      <c r="F6" s="22">
        <v>1.115</v>
      </c>
      <c r="G6" s="22">
        <v>1.26E-6</v>
      </c>
      <c r="H6" s="22">
        <v>1.4285000000000001</v>
      </c>
      <c r="I6" s="22" t="s">
        <v>42</v>
      </c>
      <c r="J6" s="22">
        <f>IF(C6="BUY",J5+F6,J5-L5*E6)</f>
        <v>1.857060655737705</v>
      </c>
      <c r="K6" s="22">
        <f>IF(C6="BUY",K5+E6,K5-E6)</f>
        <v>1.2999999999999996</v>
      </c>
      <c r="L6" s="22">
        <f>IF(K6&gt;0,J6/K6,0)</f>
        <v>1.428508196721312</v>
      </c>
      <c r="M6" s="22">
        <f>IF(C6="SELL",F6-L5*E6,0)</f>
        <v>-2.7806557377049401E-2</v>
      </c>
      <c r="N6" s="21">
        <f>N5+IF(C6="SELL",M6,0)</f>
        <v>-0.16663934426229599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BF145-7FEC-43ED-BDE8-FB56866C6591}">
  <dimension ref="A1:N34"/>
  <sheetViews>
    <sheetView workbookViewId="0">
      <selection activeCell="P14" sqref="P14"/>
    </sheetView>
  </sheetViews>
  <sheetFormatPr defaultRowHeight="14.4" x14ac:dyDescent="0.3"/>
  <cols>
    <col min="1" max="1" width="18.33203125" customWidth="1"/>
    <col min="2" max="2" width="12" customWidth="1"/>
    <col min="6" max="6" width="13.33203125" customWidth="1"/>
    <col min="7" max="7" width="15.5546875" customWidth="1"/>
    <col min="8" max="8" width="11.21875" customWidth="1"/>
    <col min="9" max="9" width="12.44140625" customWidth="1"/>
    <col min="10" max="10" width="15.5546875" customWidth="1"/>
    <col min="11" max="11" width="10.33203125" customWidth="1"/>
    <col min="12" max="12" width="13.21875" customWidth="1"/>
    <col min="13" max="13" width="14.44140625" customWidth="1"/>
    <col min="14" max="14" width="13.33203125" customWidth="1"/>
  </cols>
  <sheetData>
    <row r="1" spans="1:14" x14ac:dyDescent="0.3">
      <c r="A1" s="45" t="s">
        <v>38</v>
      </c>
      <c r="B1" s="44" t="s">
        <v>37</v>
      </c>
      <c r="C1" s="44" t="s">
        <v>36</v>
      </c>
      <c r="D1" s="44" t="s">
        <v>2</v>
      </c>
      <c r="E1" s="44" t="s">
        <v>35</v>
      </c>
      <c r="F1" s="44" t="s">
        <v>34</v>
      </c>
      <c r="G1" s="44" t="s">
        <v>44</v>
      </c>
      <c r="H1" s="44" t="s">
        <v>32</v>
      </c>
      <c r="I1" s="44" t="s">
        <v>31</v>
      </c>
      <c r="J1" s="43" t="s">
        <v>30</v>
      </c>
      <c r="K1" s="43" t="s">
        <v>29</v>
      </c>
      <c r="L1" s="43" t="s">
        <v>30</v>
      </c>
      <c r="M1" s="43" t="s">
        <v>29</v>
      </c>
      <c r="N1" s="42" t="s">
        <v>28</v>
      </c>
    </row>
    <row r="2" spans="1:14" x14ac:dyDescent="0.3">
      <c r="A2" s="1"/>
      <c r="L2">
        <v>0</v>
      </c>
      <c r="M2">
        <v>0</v>
      </c>
      <c r="N2" s="2">
        <v>0</v>
      </c>
    </row>
    <row r="3" spans="1:14" x14ac:dyDescent="0.3">
      <c r="A3" s="49">
        <v>46138.878634259258</v>
      </c>
      <c r="B3" s="40" t="s">
        <v>5</v>
      </c>
      <c r="C3" s="40" t="s">
        <v>24</v>
      </c>
      <c r="D3" s="40">
        <v>3.9999999999999998E-6</v>
      </c>
      <c r="E3" s="40">
        <v>524173</v>
      </c>
      <c r="F3" s="40">
        <v>2.06</v>
      </c>
      <c r="G3" s="40">
        <v>497.96</v>
      </c>
      <c r="H3" s="40">
        <v>3.9999999999999998E-6</v>
      </c>
      <c r="I3" s="40">
        <v>524173</v>
      </c>
      <c r="J3">
        <f>IF(C4="BUY",J2+F4,J2-L2*E4)</f>
        <v>4.7000999999999999</v>
      </c>
      <c r="K3">
        <f>IF(C4="BUY",K2+E4,K2-E4)</f>
        <v>1205148</v>
      </c>
      <c r="L3">
        <f>IF(C3="BUY",L2+F3,L2-N2*E3)</f>
        <v>2.06</v>
      </c>
      <c r="M3">
        <f>IF(C3="BUY",M2+E3,M2-E3)</f>
        <v>524173</v>
      </c>
      <c r="N3" s="2">
        <f>IF(M3&gt;0,L3/M3,0)</f>
        <v>3.93000020985438E-6</v>
      </c>
    </row>
    <row r="4" spans="1:14" x14ac:dyDescent="0.3">
      <c r="A4" s="48">
        <v>46139.61482638889</v>
      </c>
      <c r="B4" t="s">
        <v>5</v>
      </c>
      <c r="C4" t="s">
        <v>24</v>
      </c>
      <c r="D4">
        <v>3.9999999999999998E-6</v>
      </c>
      <c r="E4">
        <v>1205148</v>
      </c>
      <c r="F4">
        <v>4.7000999999999999</v>
      </c>
      <c r="G4">
        <v>1144.8900000000001</v>
      </c>
      <c r="H4">
        <v>3.9999999999999998E-6</v>
      </c>
      <c r="I4">
        <v>1729321</v>
      </c>
      <c r="J4" t="str">
        <f ca="1">IF(C5="BUY",J4+F5,J4-L4*E5)</f>
        <v/>
      </c>
      <c r="K4" t="str">
        <f ca="1">IF(C5="BUY",K4+E5,K4-E5)</f>
        <v/>
      </c>
      <c r="L4">
        <f>IF(C4="BUY",L3+F4,L3-N3*E4)</f>
        <v>6.7600999999999996</v>
      </c>
      <c r="M4">
        <f>IF(C4="BUY",M3+E4,M3-E4)</f>
        <v>1729321</v>
      </c>
      <c r="N4" s="2">
        <f>IF(M4&gt;0,L4/M4,0)</f>
        <v>3.9091065221552274E-6</v>
      </c>
    </row>
    <row r="5" spans="1:14" x14ac:dyDescent="0.3">
      <c r="A5" s="25">
        <v>46139.907326388893</v>
      </c>
      <c r="B5" t="s">
        <v>5</v>
      </c>
      <c r="C5" t="s">
        <v>24</v>
      </c>
      <c r="D5">
        <v>3.9999999999999998E-6</v>
      </c>
      <c r="E5">
        <v>905744</v>
      </c>
      <c r="F5">
        <v>3.4781</v>
      </c>
      <c r="G5">
        <v>860.46</v>
      </c>
      <c r="H5">
        <v>3.9999999999999998E-6</v>
      </c>
      <c r="I5">
        <v>2635065</v>
      </c>
      <c r="J5" t="str">
        <f ca="1">IF(C6="BUY",J5+F6,J5-L5*E6)</f>
        <v/>
      </c>
      <c r="K5" t="str">
        <f ca="1">IF(C6="BUY",K5+E6,K5-E6)</f>
        <v/>
      </c>
      <c r="L5">
        <f>IF(C5="BUY",L4+F5,L4-N4*E5)</f>
        <v>10.238199999999999</v>
      </c>
      <c r="M5">
        <f>IF(C5="BUY",M4+E5,M4-E5)</f>
        <v>2635065</v>
      </c>
      <c r="N5" s="2">
        <f>IF(M5&gt;0,L5/M5,0)</f>
        <v>3.8853690516173224E-6</v>
      </c>
    </row>
    <row r="6" spans="1:14" x14ac:dyDescent="0.3">
      <c r="A6" s="25">
        <v>46139.949120370373</v>
      </c>
      <c r="B6" t="s">
        <v>5</v>
      </c>
      <c r="C6" t="s">
        <v>24</v>
      </c>
      <c r="D6">
        <v>3.9999999999999998E-6</v>
      </c>
      <c r="E6">
        <v>491858</v>
      </c>
      <c r="F6">
        <v>1.9035</v>
      </c>
      <c r="G6">
        <v>467.27</v>
      </c>
      <c r="H6">
        <v>3.9999999999999998E-6</v>
      </c>
      <c r="I6">
        <v>3126923</v>
      </c>
      <c r="J6" t="str">
        <f ca="1">IF(C7="BUY",J6+F7,J6-L6*E7)</f>
        <v/>
      </c>
      <c r="K6" t="str">
        <f ca="1">IF(C7="BUY",K6+E7,K6-E7)</f>
        <v/>
      </c>
      <c r="L6">
        <f>IF(C6="BUY",L5+F6,L5-N5*E6)</f>
        <v>12.141699999999998</v>
      </c>
      <c r="M6">
        <f>IF(C6="BUY",M5+E6,M5-E6)</f>
        <v>3126923</v>
      </c>
      <c r="N6" s="2">
        <f>IF(M6&gt;0,L6/M6,0)</f>
        <v>3.8829545850665326E-6</v>
      </c>
    </row>
    <row r="7" spans="1:14" x14ac:dyDescent="0.3">
      <c r="A7" s="25">
        <v>46140.793703703697</v>
      </c>
      <c r="B7" t="s">
        <v>5</v>
      </c>
      <c r="C7" t="s">
        <v>23</v>
      </c>
      <c r="D7">
        <v>3.9999999999999998E-6</v>
      </c>
      <c r="E7">
        <v>1561976</v>
      </c>
      <c r="F7">
        <v>6.0761000000000003</v>
      </c>
      <c r="G7">
        <v>5.7722800000000003E-3</v>
      </c>
      <c r="H7">
        <v>3.9999999999999998E-6</v>
      </c>
      <c r="I7">
        <v>1564947</v>
      </c>
      <c r="J7" t="str">
        <f ca="1">IF(C8="BUY",J7+F8,J7-L7*E8)</f>
        <v/>
      </c>
      <c r="K7" t="str">
        <f ca="1">IF(C8="BUY",K7+E8,K7-E8)</f>
        <v/>
      </c>
      <c r="L7">
        <f>IF(C7="BUY",L6+F7,L6-N6*E7)</f>
        <v>6.0766181290361159</v>
      </c>
      <c r="M7">
        <f>IF(C7="BUY",M6+E7,M6-E7)</f>
        <v>1564947</v>
      </c>
      <c r="N7" s="2">
        <f>IF(M7&gt;0,L7/M7,0)</f>
        <v>3.8829545850665334E-6</v>
      </c>
    </row>
    <row r="8" spans="1:14" x14ac:dyDescent="0.3">
      <c r="A8" s="25">
        <v>46140.805613425917</v>
      </c>
      <c r="B8" t="s">
        <v>5</v>
      </c>
      <c r="C8" t="s">
        <v>24</v>
      </c>
      <c r="D8">
        <v>3.9999999999999998E-6</v>
      </c>
      <c r="E8">
        <v>363966</v>
      </c>
      <c r="F8">
        <v>1.4157999999999999</v>
      </c>
      <c r="G8">
        <v>345.77</v>
      </c>
      <c r="H8">
        <v>3.9999999999999998E-6</v>
      </c>
      <c r="I8">
        <v>19289130</v>
      </c>
      <c r="J8" t="str">
        <f ca="1">IF(C9="BUY",J8+F9,J8-L8*E9)</f>
        <v/>
      </c>
      <c r="K8" t="str">
        <f ca="1">IF(C9="BUY",K8+E9,K8-E9)</f>
        <v/>
      </c>
      <c r="L8">
        <f>IF(C8="BUY",L7+F8,L7-N7*E8)</f>
        <v>7.4924181290361158</v>
      </c>
      <c r="M8">
        <f>IF(C8="BUY",M7+E8,M7-E8)</f>
        <v>1928913</v>
      </c>
      <c r="N8" s="2">
        <f>IF(M8&gt;0,L8/M8,0)</f>
        <v>3.8842696010841938E-6</v>
      </c>
    </row>
    <row r="9" spans="1:14" x14ac:dyDescent="0.3">
      <c r="A9" s="25">
        <v>46140.813483796293</v>
      </c>
      <c r="B9" t="s">
        <v>5</v>
      </c>
      <c r="C9" t="s">
        <v>24</v>
      </c>
      <c r="D9">
        <v>3.9999999999999998E-6</v>
      </c>
      <c r="E9">
        <v>340345</v>
      </c>
      <c r="F9">
        <v>1.3272999999999999</v>
      </c>
      <c r="G9">
        <v>323.33</v>
      </c>
      <c r="H9">
        <v>3.9999999999999998E-6</v>
      </c>
      <c r="I9">
        <v>2269258</v>
      </c>
      <c r="J9" t="str">
        <f ca="1">IF(C10="BUY",J9+F10,J9-L9*E10)</f>
        <v/>
      </c>
      <c r="K9" t="str">
        <f ca="1">IF(C10="BUY",K9+E10,K9-E10)</f>
        <v/>
      </c>
      <c r="L9">
        <f>IF(C9="BUY",L8+F9,L8-N8*E9)</f>
        <v>8.8197181290361151</v>
      </c>
      <c r="M9">
        <f>IF(C9="BUY",M8+E9,M8-E9)</f>
        <v>2269258</v>
      </c>
      <c r="N9" s="2">
        <f>IF(M9&gt;0,L9/M9,0)</f>
        <v>3.8866088073881923E-6</v>
      </c>
    </row>
    <row r="10" spans="1:14" x14ac:dyDescent="0.3">
      <c r="A10" s="25">
        <v>46140.823958333327</v>
      </c>
      <c r="B10" t="s">
        <v>5</v>
      </c>
      <c r="C10" t="s">
        <v>24</v>
      </c>
      <c r="D10">
        <v>3.9999999999999998E-6</v>
      </c>
      <c r="E10">
        <v>319924</v>
      </c>
      <c r="F10">
        <v>1.2508999999999999</v>
      </c>
      <c r="G10">
        <v>303.93</v>
      </c>
      <c r="H10">
        <v>3.9999999999999998E-6</v>
      </c>
      <c r="I10">
        <v>2589182</v>
      </c>
      <c r="J10" t="str">
        <f ca="1">IF(C11="BUY",J10+F11,J10-L10*E11)</f>
        <v/>
      </c>
      <c r="K10" t="str">
        <f ca="1">IF(C11="BUY",K10+E11,K10-E11)</f>
        <v/>
      </c>
      <c r="L10">
        <f>IF(C10="BUY",L9+F10,L9-N9*E10)</f>
        <v>10.070618129036115</v>
      </c>
      <c r="M10">
        <f>IF(C10="BUY",M9+E10,M9-E10)</f>
        <v>2589182</v>
      </c>
      <c r="N10" s="2">
        <f>IF(M10&gt;0,L10/M10,0)</f>
        <v>3.8894979684842996E-6</v>
      </c>
    </row>
    <row r="11" spans="1:14" x14ac:dyDescent="0.3">
      <c r="A11" s="25">
        <v>46140.834456018521</v>
      </c>
      <c r="B11" t="s">
        <v>5</v>
      </c>
      <c r="C11" t="s">
        <v>24</v>
      </c>
      <c r="D11">
        <v>3.9999999999999998E-6</v>
      </c>
      <c r="E11">
        <v>300689</v>
      </c>
      <c r="F11">
        <v>1.1727000000000001</v>
      </c>
      <c r="G11">
        <v>285.64999999999998</v>
      </c>
      <c r="H11">
        <v>3.9999999999999998E-6</v>
      </c>
      <c r="I11">
        <v>2889871</v>
      </c>
      <c r="J11" t="str">
        <f ca="1">IF(C12="BUY",J11+F12,J11-L11*E12)</f>
        <v/>
      </c>
      <c r="K11" t="str">
        <f ca="1">IF(C12="BUY",K11+E12,K11-E12)</f>
        <v/>
      </c>
      <c r="L11">
        <f>IF(C11="BUY",L10+F11,L10-N10*E11)</f>
        <v>11.243318129036115</v>
      </c>
      <c r="M11">
        <f>IF(C11="BUY",M10+E11,M10-E11)</f>
        <v>2889871</v>
      </c>
      <c r="N11" s="2">
        <f>IF(M11&gt;0,L11/M11,0)</f>
        <v>3.890595161180591E-6</v>
      </c>
    </row>
    <row r="12" spans="1:14" x14ac:dyDescent="0.3">
      <c r="A12" s="25">
        <v>46140.844930555562</v>
      </c>
      <c r="B12" t="s">
        <v>5</v>
      </c>
      <c r="C12" t="s">
        <v>24</v>
      </c>
      <c r="D12">
        <v>3.9999999999999998E-6</v>
      </c>
      <c r="E12">
        <v>282633</v>
      </c>
      <c r="F12">
        <v>1.1023000000000001</v>
      </c>
      <c r="G12">
        <v>268.5</v>
      </c>
      <c r="H12">
        <v>3.9999999999999998E-6</v>
      </c>
      <c r="I12">
        <v>3172504</v>
      </c>
      <c r="J12" t="str">
        <f ca="1">IF(C33="BUY",J32+F33,J32-L32*E33)</f>
        <v/>
      </c>
      <c r="K12" t="str">
        <f ca="1">IF(C33="BUY",K32+E33,K32-E33)</f>
        <v/>
      </c>
      <c r="L12">
        <f>IF(C12="BUY",L11+F12,L11-N11*E12)</f>
        <v>12.345618129036115</v>
      </c>
      <c r="M12">
        <f>IF(C12="BUY",M11+E12,M11-E12)</f>
        <v>3172504</v>
      </c>
      <c r="N12" s="2">
        <f>IF(M12&gt;0,L12/M12,0)</f>
        <v>3.8914428883418636E-6</v>
      </c>
    </row>
    <row r="13" spans="1:14" x14ac:dyDescent="0.3">
      <c r="A13" s="25">
        <v>46140.855405092603</v>
      </c>
      <c r="B13" t="s">
        <v>5</v>
      </c>
      <c r="C13" t="s">
        <v>24</v>
      </c>
      <c r="D13">
        <v>3.9999999999999998E-6</v>
      </c>
      <c r="E13">
        <v>266358</v>
      </c>
      <c r="F13">
        <v>1.0361</v>
      </c>
      <c r="G13">
        <v>253.04</v>
      </c>
      <c r="H13">
        <v>3.9999999999999998E-6</v>
      </c>
      <c r="I13">
        <v>3438862</v>
      </c>
      <c r="J13" t="str">
        <f ca="1">IF(C13="BUY",J12+F13,J12-L12*E13)</f>
        <v/>
      </c>
      <c r="K13" t="str">
        <f ca="1">IF(C13="BUY",K12+E13,K12-E13)</f>
        <v/>
      </c>
      <c r="L13">
        <f>IF(C13="BUY",L12+F13,L12-N12*E13)</f>
        <v>13.381718129036114</v>
      </c>
      <c r="M13">
        <f>IF(C13="BUY",M12+E13,M12-E13)</f>
        <v>3438862</v>
      </c>
      <c r="N13" s="2">
        <f>IF(M13&gt;0,L13/M13,0)</f>
        <v>3.891321643333206E-6</v>
      </c>
    </row>
    <row r="14" spans="1:14" x14ac:dyDescent="0.3">
      <c r="A14" s="25">
        <v>46141.022777777784</v>
      </c>
      <c r="B14" t="s">
        <v>5</v>
      </c>
      <c r="C14" t="s">
        <v>24</v>
      </c>
      <c r="D14">
        <v>3.9999999999999998E-6</v>
      </c>
      <c r="E14">
        <v>471086</v>
      </c>
      <c r="F14">
        <v>1.8325</v>
      </c>
      <c r="G14">
        <v>447.53</v>
      </c>
      <c r="H14">
        <v>3.9999999999999998E-6</v>
      </c>
      <c r="I14">
        <v>3909948</v>
      </c>
      <c r="J14" t="str">
        <f ca="1">IF(C14="BUY",J13+F14,J13-L13*E14)</f>
        <v/>
      </c>
      <c r="K14" t="str">
        <f ca="1">IF(C14="BUY",K13+E14,K13-E14)</f>
        <v/>
      </c>
      <c r="L14">
        <f>IF(C14="BUY",L13+F14,L13-N13*E14)</f>
        <v>15.214218129036114</v>
      </c>
      <c r="M14">
        <f>IF(C14="BUY",M13+E14,M13-E14)</f>
        <v>3909948</v>
      </c>
      <c r="N14" s="2">
        <f>IF(M14&gt;0,L14/M14,0)</f>
        <v>3.8911561302186404E-6</v>
      </c>
    </row>
    <row r="15" spans="1:14" x14ac:dyDescent="0.3">
      <c r="A15" s="25">
        <v>46141.033252314817</v>
      </c>
      <c r="B15" t="s">
        <v>5</v>
      </c>
      <c r="C15" t="s">
        <v>24</v>
      </c>
      <c r="D15">
        <v>3.9999999999999998E-6</v>
      </c>
      <c r="E15">
        <v>414556</v>
      </c>
      <c r="F15">
        <v>1.6168</v>
      </c>
      <c r="G15">
        <v>393.83</v>
      </c>
      <c r="H15">
        <v>3.9999999999999998E-6</v>
      </c>
      <c r="I15">
        <v>4324504</v>
      </c>
      <c r="J15" t="str">
        <f ca="1">IF(C15="BUY",J14+F15,J14-L14*E15)</f>
        <v/>
      </c>
      <c r="K15" t="str">
        <f ca="1">IF(C15="BUY",K14+E15,K14-E15)</f>
        <v/>
      </c>
      <c r="L15">
        <f>IF(C15="BUY",L14+F15,L14-N14*E15)</f>
        <v>16.831018129036114</v>
      </c>
      <c r="M15">
        <f>IF(C15="BUY",M14+E15,M14-E15)</f>
        <v>4324504</v>
      </c>
      <c r="N15" s="2">
        <f>IF(M15&gt;0,L15/M15,0)</f>
        <v>3.8920112292730251E-6</v>
      </c>
    </row>
    <row r="16" spans="1:14" x14ac:dyDescent="0.3">
      <c r="A16" s="25">
        <v>46141.043738425928</v>
      </c>
      <c r="B16" t="s">
        <v>5</v>
      </c>
      <c r="C16" t="s">
        <v>24</v>
      </c>
      <c r="D16">
        <v>3.9999999999999998E-6</v>
      </c>
      <c r="E16">
        <v>364704</v>
      </c>
      <c r="F16">
        <v>1.4187000000000001</v>
      </c>
      <c r="G16">
        <v>346.47</v>
      </c>
      <c r="H16">
        <v>3.9999999999999998E-6</v>
      </c>
      <c r="I16">
        <v>4689208</v>
      </c>
      <c r="J16" t="str">
        <f ca="1">IF(C16="BUY",J15+F16,J15-L15*E16)</f>
        <v/>
      </c>
      <c r="K16" t="str">
        <f ca="1">IF(C16="BUY",K15+E16,K15-E16)</f>
        <v/>
      </c>
      <c r="L16">
        <f>IF(C16="BUY",L15+F16,L15-N15*E16)</f>
        <v>18.249718129036115</v>
      </c>
      <c r="M16">
        <f>IF(C16="BUY",M15+E16,M15-E16)</f>
        <v>4689208</v>
      </c>
      <c r="N16" s="2">
        <f>IF(M16&gt;0,L16/M16,0)</f>
        <v>3.8918551126407946E-6</v>
      </c>
    </row>
    <row r="17" spans="1:14" x14ac:dyDescent="0.3">
      <c r="A17" s="25">
        <v>46141.075115740743</v>
      </c>
      <c r="B17" t="s">
        <v>5</v>
      </c>
      <c r="C17" t="s">
        <v>24</v>
      </c>
      <c r="D17">
        <v>3.9999999999999998E-6</v>
      </c>
      <c r="E17">
        <v>284313</v>
      </c>
      <c r="F17">
        <v>1.1060000000000001</v>
      </c>
      <c r="G17">
        <v>270.10000000000002</v>
      </c>
      <c r="H17">
        <v>3.9999999999999998E-6</v>
      </c>
      <c r="I17">
        <v>4973521</v>
      </c>
      <c r="J17" t="str">
        <f ca="1">IF(C17="BUY",J16+F17,J16-L16*E17)</f>
        <v/>
      </c>
      <c r="K17" t="str">
        <f ca="1">IF(C17="BUY",K16+E17,K16-E17)</f>
        <v/>
      </c>
      <c r="L17">
        <f>IF(C17="BUY",L16+F17,L16-N16*E17)</f>
        <v>19.355718129036116</v>
      </c>
      <c r="M17">
        <f>IF(C17="BUY",M16+E17,M16-E17)</f>
        <v>4973521</v>
      </c>
      <c r="N17" s="2">
        <f>IF(M17&gt;0,L17/M17,0)</f>
        <v>3.8917535743864589E-6</v>
      </c>
    </row>
    <row r="18" spans="1:14" x14ac:dyDescent="0.3">
      <c r="A18" s="25">
        <v>46142.029942129629</v>
      </c>
      <c r="B18" t="s">
        <v>5</v>
      </c>
      <c r="C18" t="s">
        <v>24</v>
      </c>
      <c r="D18">
        <v>3.9999999999999998E-6</v>
      </c>
      <c r="E18">
        <v>274997</v>
      </c>
      <c r="F18">
        <v>1.0697000000000001</v>
      </c>
      <c r="G18">
        <v>261.25</v>
      </c>
      <c r="H18">
        <v>3.9999999999999998E-6</v>
      </c>
      <c r="I18">
        <v>5248518</v>
      </c>
      <c r="J18" t="str">
        <f ca="1">IF(C18="BUY",J17+F18,J17-L17*E18)</f>
        <v/>
      </c>
      <c r="K18" t="str">
        <f ca="1">IF(C18="BUY",K17+E18,K17-E18)</f>
        <v/>
      </c>
      <c r="L18">
        <f>IF(C18="BUY",L17+F18,L17-N17*E18)</f>
        <v>20.425418129036117</v>
      </c>
      <c r="M18">
        <f>IF(C18="BUY",M17+E18,M17-E18)</f>
        <v>5248518</v>
      </c>
      <c r="N18" s="2">
        <f>IF(M18&gt;0,L18/M18,0)</f>
        <v>3.8916543925420698E-6</v>
      </c>
    </row>
    <row r="19" spans="1:14" x14ac:dyDescent="0.3">
      <c r="A19" s="25">
        <v>46142.029942129629</v>
      </c>
      <c r="B19" t="s">
        <v>5</v>
      </c>
      <c r="C19" t="s">
        <v>24</v>
      </c>
      <c r="D19">
        <v>3.9999999999999998E-6</v>
      </c>
      <c r="E19">
        <v>67735</v>
      </c>
      <c r="F19">
        <v>0.26350000000000001</v>
      </c>
      <c r="G19">
        <v>64.349999999999994</v>
      </c>
      <c r="H19">
        <v>3.9999999999999998E-6</v>
      </c>
      <c r="I19">
        <v>5316253</v>
      </c>
      <c r="J19" t="str">
        <f ca="1">IF(C19="BUY",J18+F19,J18-L18*E19)</f>
        <v/>
      </c>
      <c r="K19" t="str">
        <f ca="1">IF(C19="BUY",K18+E19,K18-E19)</f>
        <v/>
      </c>
      <c r="L19">
        <f>IF(C19="BUY",L18+F19,L18-N18*E19)</f>
        <v>20.688918129036118</v>
      </c>
      <c r="M19">
        <f>IF(C19="BUY",M18+E19,M18-E19)</f>
        <v>5316253</v>
      </c>
      <c r="N19" s="2">
        <f>IF(M19&gt;0,L19/M19,0)</f>
        <v>3.8916353546447313E-6</v>
      </c>
    </row>
    <row r="20" spans="1:14" x14ac:dyDescent="0.3">
      <c r="A20" s="25">
        <v>46142.040451388893</v>
      </c>
      <c r="B20" t="s">
        <v>5</v>
      </c>
      <c r="C20" t="s">
        <v>24</v>
      </c>
      <c r="D20">
        <v>3.9999999999999998E-6</v>
      </c>
      <c r="E20">
        <v>277386</v>
      </c>
      <c r="F20">
        <v>1.0901000000000001</v>
      </c>
      <c r="G20">
        <v>263.52</v>
      </c>
      <c r="H20">
        <v>3.9999999999999998E-6</v>
      </c>
      <c r="I20">
        <v>5593639</v>
      </c>
      <c r="J20" t="str">
        <f ca="1">IF(C20="BUY",J19+F20,J19-L19*E20)</f>
        <v/>
      </c>
      <c r="K20" t="str">
        <f ca="1">IF(C20="BUY",K19+E20,K19-E20)</f>
        <v/>
      </c>
      <c r="L20">
        <f>IF(C20="BUY",L19+F20,L19-N19*E20)</f>
        <v>21.779018129036118</v>
      </c>
      <c r="M20">
        <f>IF(C20="BUY",M19+E20,M19-E20)</f>
        <v>5593639</v>
      </c>
      <c r="N20" s="2">
        <f>IF(M20&gt;0,L20/M20,0)</f>
        <v>3.8935330165275444E-6</v>
      </c>
    </row>
    <row r="21" spans="1:14" x14ac:dyDescent="0.3">
      <c r="A21" s="25">
        <v>46146.853750000002</v>
      </c>
      <c r="B21" t="s">
        <v>5</v>
      </c>
      <c r="C21" t="s">
        <v>23</v>
      </c>
      <c r="D21">
        <v>3.9999999999999998E-6</v>
      </c>
      <c r="E21">
        <v>2793420</v>
      </c>
      <c r="F21">
        <v>11.1457</v>
      </c>
      <c r="G21">
        <v>1.0588459999999999E-2</v>
      </c>
      <c r="H21">
        <v>3.9999999999999998E-6</v>
      </c>
      <c r="I21">
        <v>2800219</v>
      </c>
      <c r="J21" t="str">
        <f ca="1">IF(C21="BUY",J20+F21,J20-L20*E21)</f>
        <v/>
      </c>
      <c r="K21" t="str">
        <f ca="1">IF(C21="BUY",K20+E21,K20-E21)</f>
        <v/>
      </c>
      <c r="L21">
        <f>IF(C21="BUY",L20+F21,L20-N20*E21)</f>
        <v>10.902745130007744</v>
      </c>
      <c r="M21">
        <f>IF(C21="BUY",M20+E21,M20-E21)</f>
        <v>2800219</v>
      </c>
      <c r="N21" s="2">
        <f>IF(M21&gt;0,L21/M21,0)</f>
        <v>3.8935330165275444E-6</v>
      </c>
    </row>
    <row r="22" spans="1:14" x14ac:dyDescent="0.3">
      <c r="A22" s="25">
        <v>46146.853888888887</v>
      </c>
      <c r="B22" t="s">
        <v>5</v>
      </c>
      <c r="C22" t="s">
        <v>23</v>
      </c>
      <c r="D22">
        <v>3.9999999999999998E-6</v>
      </c>
      <c r="E22">
        <v>2234736</v>
      </c>
      <c r="F22">
        <v>8.9166000000000007</v>
      </c>
      <c r="G22">
        <v>8.4707700000000007E-3</v>
      </c>
      <c r="H22">
        <v>3.9999999999999998E-6</v>
      </c>
      <c r="I22">
        <v>565483</v>
      </c>
      <c r="J22" t="str">
        <f ca="1">IF(C22="BUY",J21+F22,J21-L21*E22)</f>
        <v/>
      </c>
      <c r="K22" t="str">
        <f ca="1">IF(C22="BUY",K21+E22,K21-E22)</f>
        <v/>
      </c>
      <c r="L22">
        <f>IF(C22="BUY",L21+F22,L21-N21*E22)</f>
        <v>2.2017267307850457</v>
      </c>
      <c r="M22">
        <f>IF(C22="BUY",M21+E22,M21-E22)</f>
        <v>565483</v>
      </c>
      <c r="N22" s="2">
        <f>IF(M22&gt;0,L22/M22,0)</f>
        <v>3.8935330165275452E-6</v>
      </c>
    </row>
    <row r="23" spans="1:14" x14ac:dyDescent="0.3">
      <c r="A23" s="25">
        <v>46146.864224537043</v>
      </c>
      <c r="B23" t="s">
        <v>5</v>
      </c>
      <c r="C23" t="s">
        <v>23</v>
      </c>
      <c r="D23">
        <v>3.9999999999999998E-6</v>
      </c>
      <c r="E23">
        <v>279342</v>
      </c>
      <c r="F23">
        <v>1.1146</v>
      </c>
      <c r="G23">
        <v>1.0588500000000001E-3</v>
      </c>
      <c r="H23">
        <v>3.9999999999999998E-6</v>
      </c>
      <c r="I23">
        <v>286141</v>
      </c>
      <c r="J23" t="str">
        <f ca="1">IF(C23="BUY",J22+F23,J22-L22*E23)</f>
        <v/>
      </c>
      <c r="K23" t="str">
        <f ca="1">IF(C23="BUY",K22+E23,K22-E23)</f>
        <v/>
      </c>
      <c r="L23">
        <f>IF(C23="BUY",L22+F23,L22-N22*E23)</f>
        <v>1.1140994308822081</v>
      </c>
      <c r="M23">
        <f>IF(C23="BUY",M22+E23,M22-E23)</f>
        <v>286141</v>
      </c>
      <c r="N23" s="2">
        <f>IF(M23&gt;0,L23/M23,0)</f>
        <v>3.8935330165275444E-6</v>
      </c>
    </row>
    <row r="24" spans="1:14" x14ac:dyDescent="0.3">
      <c r="A24" s="25">
        <v>46146.885185185187</v>
      </c>
      <c r="B24" t="s">
        <v>5</v>
      </c>
      <c r="C24" t="s">
        <v>24</v>
      </c>
      <c r="D24">
        <v>3.9999999999999998E-6</v>
      </c>
      <c r="E24">
        <v>1268318</v>
      </c>
      <c r="F24">
        <v>5.1113</v>
      </c>
      <c r="G24">
        <v>1204.9000000000001</v>
      </c>
      <c r="H24">
        <v>3.9999999999999998E-6</v>
      </c>
      <c r="I24">
        <v>1554459</v>
      </c>
      <c r="J24" t="str">
        <f ca="1">IF(C24="BUY",J23+F24,J23-L23*E24)</f>
        <v/>
      </c>
      <c r="K24" t="str">
        <f ca="1">IF(C24="BUY",K23+E24,K23-E24)</f>
        <v/>
      </c>
      <c r="L24">
        <f>IF(C24="BUY",L23+F24,L23-N23*E24)</f>
        <v>6.2253994308822076</v>
      </c>
      <c r="M24">
        <f>IF(C24="BUY",M23+E24,M23-E24)</f>
        <v>1554459</v>
      </c>
      <c r="N24" s="2">
        <f>IF(M24&gt;0,L24/M24,0)</f>
        <v>4.0048656354926102E-6</v>
      </c>
    </row>
    <row r="25" spans="1:14" x14ac:dyDescent="0.3">
      <c r="A25" s="25">
        <v>46146.89565972222</v>
      </c>
      <c r="B25" t="s">
        <v>5</v>
      </c>
      <c r="C25" t="s">
        <v>24</v>
      </c>
      <c r="D25">
        <v>3.9999999999999998E-6</v>
      </c>
      <c r="E25">
        <v>887900</v>
      </c>
      <c r="F25">
        <v>3.5781999999999998</v>
      </c>
      <c r="G25">
        <v>843.51</v>
      </c>
      <c r="H25">
        <v>3.9999999999999998E-6</v>
      </c>
      <c r="I25">
        <v>2442359</v>
      </c>
      <c r="J25" t="str">
        <f ca="1">IF(C25="BUY",J24+F25,J24-L24*E25)</f>
        <v/>
      </c>
      <c r="K25" t="str">
        <f ca="1">IF(C25="BUY",K24+E25,K24-E25)</f>
        <v/>
      </c>
      <c r="L25">
        <f>IF(C25="BUY",L24+F25,L24-N24*E25)</f>
        <v>9.8035994308822083</v>
      </c>
      <c r="M25">
        <f>IF(C25="BUY",M24+E25,M24-E25)</f>
        <v>2442359</v>
      </c>
      <c r="N25" s="2">
        <f>IF(M25&gt;0,L25/M25,0)</f>
        <v>4.0139878825685369E-6</v>
      </c>
    </row>
    <row r="26" spans="1:14" x14ac:dyDescent="0.3">
      <c r="A26" s="25">
        <v>46146.906134259261</v>
      </c>
      <c r="B26" t="s">
        <v>5</v>
      </c>
      <c r="C26" t="s">
        <v>23</v>
      </c>
      <c r="D26">
        <v>3.9999999999999998E-6</v>
      </c>
      <c r="E26">
        <v>1216756</v>
      </c>
      <c r="F26">
        <v>4.867</v>
      </c>
      <c r="G26">
        <v>4.6236699999999999E-3</v>
      </c>
      <c r="H26">
        <v>3.9999999999999998E-6</v>
      </c>
      <c r="I26">
        <v>1225603</v>
      </c>
      <c r="J26" t="str">
        <f ca="1">IF(C26="BUY",J25+F26,J25-L25*E26)</f>
        <v/>
      </c>
      <c r="K26" t="str">
        <f ca="1">IF(C26="BUY",K25+E26,K25-E26)</f>
        <v/>
      </c>
      <c r="L26">
        <f>IF(C26="BUY",L25+F26,L25-N25*E26)</f>
        <v>4.9195555908396456</v>
      </c>
      <c r="M26">
        <f>IF(C26="BUY",M25+E26,M25-E26)</f>
        <v>1225603</v>
      </c>
      <c r="N26" s="2">
        <f>IF(M26&gt;0,L26/M26,0)</f>
        <v>4.013987882568536E-6</v>
      </c>
    </row>
    <row r="27" spans="1:14" x14ac:dyDescent="0.3">
      <c r="A27" s="25">
        <v>46146.9062037037</v>
      </c>
      <c r="B27" t="s">
        <v>5</v>
      </c>
      <c r="C27" t="s">
        <v>23</v>
      </c>
      <c r="D27">
        <v>3.9999999999999998E-6</v>
      </c>
      <c r="E27">
        <v>973405</v>
      </c>
      <c r="F27">
        <v>3.8936000000000002</v>
      </c>
      <c r="G27">
        <v>3.69894E-3</v>
      </c>
      <c r="H27">
        <v>3.9999999999999998E-6</v>
      </c>
      <c r="I27">
        <v>252198</v>
      </c>
      <c r="J27" t="str">
        <f ca="1">IF(C27="BUY",J26+F27,J26-L26*E27)</f>
        <v/>
      </c>
      <c r="K27" t="str">
        <f ca="1">IF(C27="BUY",K26+E27,K26-E27)</f>
        <v/>
      </c>
      <c r="L27">
        <f>IF(C27="BUY",L26+F27,L26-N26*E27)</f>
        <v>1.0123197160080197</v>
      </c>
      <c r="M27">
        <f>IF(C27="BUY",M26+E27,M26-E27)</f>
        <v>252198</v>
      </c>
      <c r="N27" s="2">
        <f>IF(M27&gt;0,L27/M27,0)</f>
        <v>4.013987882568536E-6</v>
      </c>
    </row>
    <row r="28" spans="1:14" x14ac:dyDescent="0.3">
      <c r="A28" s="25">
        <v>46146.916631944441</v>
      </c>
      <c r="B28" t="s">
        <v>5</v>
      </c>
      <c r="C28" t="s">
        <v>24</v>
      </c>
      <c r="D28">
        <v>3.9999999999999998E-6</v>
      </c>
      <c r="E28">
        <v>940816</v>
      </c>
      <c r="F28">
        <v>3.7820999999999998</v>
      </c>
      <c r="G28">
        <v>893.78</v>
      </c>
      <c r="H28">
        <v>3.9999999999999998E-6</v>
      </c>
      <c r="I28">
        <v>1193014</v>
      </c>
      <c r="J28" t="str">
        <f ca="1">IF(C28="BUY",J27+F28,J27-L27*E28)</f>
        <v/>
      </c>
      <c r="K28" t="str">
        <f ca="1">IF(C28="BUY",K27+E28,K27-E28)</f>
        <v/>
      </c>
      <c r="L28">
        <f>IF(C28="BUY",L27+F28,L27-N27*E28)</f>
        <v>4.7944197160080195</v>
      </c>
      <c r="M28">
        <f>IF(C28="BUY",M27+E28,M27-E28)</f>
        <v>1193014</v>
      </c>
      <c r="N28" s="2">
        <f>IF(M28&gt;0,L28/M28,0)</f>
        <v>4.0187455604108748E-6</v>
      </c>
    </row>
    <row r="29" spans="1:14" x14ac:dyDescent="0.3">
      <c r="A29" s="25">
        <v>46146.927129629628</v>
      </c>
      <c r="B29" t="s">
        <v>5</v>
      </c>
      <c r="C29" t="s">
        <v>24</v>
      </c>
      <c r="D29">
        <v>3.9999999999999998E-6</v>
      </c>
      <c r="E29">
        <v>872381</v>
      </c>
      <c r="F29">
        <v>3.5156999999999998</v>
      </c>
      <c r="G29">
        <v>828.76</v>
      </c>
      <c r="H29">
        <v>3.9999999999999998E-6</v>
      </c>
      <c r="I29">
        <v>2065395</v>
      </c>
      <c r="J29" t="str">
        <f ca="1">IF(C29="BUY",J28+F29,J28-L28*E29)</f>
        <v/>
      </c>
      <c r="K29" t="str">
        <f ca="1">IF(C29="BUY",K28+E29,K28-E29)</f>
        <v/>
      </c>
      <c r="L29">
        <f>IF(C29="BUY",L28+F29,L28-N28*E29)</f>
        <v>8.3101197160080194</v>
      </c>
      <c r="M29">
        <f>IF(C29="BUY",M28+E29,M28-E29)</f>
        <v>2065395</v>
      </c>
      <c r="N29" s="2">
        <f>IF(M29&gt;0,L29/M29,0)</f>
        <v>4.0235014203133151E-6</v>
      </c>
    </row>
    <row r="30" spans="1:14" x14ac:dyDescent="0.3">
      <c r="A30" s="25">
        <v>46146.937615740739</v>
      </c>
      <c r="B30" t="s">
        <v>5</v>
      </c>
      <c r="C30" t="s">
        <v>24</v>
      </c>
      <c r="D30">
        <v>3.9999999999999998E-6</v>
      </c>
      <c r="E30">
        <v>780857</v>
      </c>
      <c r="F30">
        <v>3.1389999999999998</v>
      </c>
      <c r="G30">
        <v>741.81</v>
      </c>
      <c r="H30">
        <v>3.9999999999999998E-6</v>
      </c>
      <c r="I30">
        <v>2846252</v>
      </c>
      <c r="J30" t="str">
        <f ca="1">IF(C30="BUY",J29+F30,J29-L29*E30)</f>
        <v/>
      </c>
      <c r="K30" t="str">
        <f ca="1">IF(C30="BUY",K29+E30,K29-E30)</f>
        <v/>
      </c>
      <c r="L30">
        <f>IF(C30="BUY",L29+F30,L29-N29*E30)</f>
        <v>11.449119716008019</v>
      </c>
      <c r="M30">
        <f>IF(C30="BUY",M29+E30,M29-E30)</f>
        <v>2846252</v>
      </c>
      <c r="N30" s="2">
        <f>IF(M30&gt;0,L30/M30,0)</f>
        <v>4.0225249612500994E-6</v>
      </c>
    </row>
    <row r="31" spans="1:14" x14ac:dyDescent="0.3">
      <c r="A31" s="25">
        <v>46146.948078703703</v>
      </c>
      <c r="B31" t="s">
        <v>5</v>
      </c>
      <c r="C31" t="s">
        <v>23</v>
      </c>
      <c r="D31">
        <v>3.9999999999999998E-6</v>
      </c>
      <c r="E31">
        <v>2267953</v>
      </c>
      <c r="F31">
        <v>9.0490999999999993</v>
      </c>
      <c r="G31">
        <v>8.5966800000000006E-3</v>
      </c>
      <c r="H31">
        <v>3.9999999999999998E-6</v>
      </c>
      <c r="I31">
        <v>578299</v>
      </c>
      <c r="J31" t="str">
        <f ca="1">IF(C31="BUY",J30+F31,J30-L30*E31)</f>
        <v/>
      </c>
      <c r="K31" t="str">
        <f ca="1">IF(C31="BUY",K30+E31,K30-E31)</f>
        <v/>
      </c>
      <c r="L31">
        <f>IF(C31="BUY",L30+F31,L30-N30*E31)</f>
        <v>2.3262221625659727</v>
      </c>
      <c r="M31">
        <f>IF(C31="BUY",M30+E31,M30-E31)</f>
        <v>578299</v>
      </c>
      <c r="N31" s="2">
        <f>IF(M31&gt;0,L31/M31,0)</f>
        <v>4.022524961250102E-6</v>
      </c>
    </row>
    <row r="32" spans="1:14" x14ac:dyDescent="0.3">
      <c r="A32" s="25">
        <v>46146.958553240736</v>
      </c>
      <c r="B32" t="s">
        <v>5</v>
      </c>
      <c r="C32" t="s">
        <v>23</v>
      </c>
      <c r="D32">
        <v>3.9999999999999998E-6</v>
      </c>
      <c r="E32">
        <v>453590</v>
      </c>
      <c r="F32">
        <v>1.8098000000000001</v>
      </c>
      <c r="G32">
        <v>1.71933E-3</v>
      </c>
      <c r="H32">
        <v>3.9999999999999998E-6</v>
      </c>
      <c r="I32">
        <v>124709</v>
      </c>
      <c r="J32" t="str">
        <f ca="1">IF(C32="BUY",J31+F32,J31-L31*E32)</f>
        <v/>
      </c>
      <c r="K32" t="str">
        <f ca="1">IF(C32="BUY",K31+E32,K31-E32)</f>
        <v/>
      </c>
      <c r="L32">
        <f>IF(C32="BUY",L31+F32,L31-N31*E32)</f>
        <v>0.50164506539253884</v>
      </c>
      <c r="M32">
        <f>IF(C32="BUY",M31+E32,M31-E32)</f>
        <v>124709</v>
      </c>
      <c r="N32" s="2">
        <f>IF(M32&gt;0,L32/M32,0)</f>
        <v>4.0225249612501011E-6</v>
      </c>
    </row>
    <row r="33" spans="1:14" ht="15" customHeight="1" thickBot="1" x14ac:dyDescent="0.35">
      <c r="A33" s="23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1"/>
    </row>
    <row r="34" spans="1:14" x14ac:dyDescent="0.3">
      <c r="A34" s="36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F8676-4E14-42D4-AD9B-48726734ABB2}">
  <dimension ref="A1:K4"/>
  <sheetViews>
    <sheetView workbookViewId="0">
      <selection activeCell="A6" sqref="A6"/>
    </sheetView>
  </sheetViews>
  <sheetFormatPr defaultRowHeight="14.4" x14ac:dyDescent="0.3"/>
  <cols>
    <col min="1" max="1" width="14.109375" bestFit="1" customWidth="1"/>
    <col min="2" max="2" width="10.5546875" customWidth="1"/>
    <col min="7" max="7" width="11" bestFit="1" customWidth="1"/>
  </cols>
  <sheetData>
    <row r="1" spans="1:11" x14ac:dyDescent="0.3">
      <c r="A1" s="39" t="s">
        <v>38</v>
      </c>
      <c r="B1" s="38" t="s">
        <v>37</v>
      </c>
      <c r="C1" s="38" t="s">
        <v>36</v>
      </c>
      <c r="D1" s="38" t="s">
        <v>2</v>
      </c>
      <c r="E1" s="38" t="s">
        <v>35</v>
      </c>
      <c r="F1" s="38" t="s">
        <v>34</v>
      </c>
      <c r="G1" s="38" t="s">
        <v>33</v>
      </c>
      <c r="H1" s="38" t="s">
        <v>32</v>
      </c>
      <c r="I1" s="38" t="s">
        <v>31</v>
      </c>
      <c r="J1" s="38" t="s">
        <v>41</v>
      </c>
      <c r="K1" s="37" t="s">
        <v>40</v>
      </c>
    </row>
    <row r="3" spans="1:11" x14ac:dyDescent="0.3">
      <c r="A3" s="36">
        <v>46139.326458333337</v>
      </c>
      <c r="B3" t="s">
        <v>39</v>
      </c>
      <c r="C3" t="s">
        <v>23</v>
      </c>
      <c r="D3">
        <v>626.78</v>
      </c>
      <c r="E3">
        <v>0.03</v>
      </c>
      <c r="F3">
        <v>18.8034</v>
      </c>
      <c r="G3">
        <v>2.137E-5</v>
      </c>
      <c r="H3">
        <v>0</v>
      </c>
      <c r="I3">
        <v>0</v>
      </c>
      <c r="J3">
        <v>0</v>
      </c>
      <c r="K3">
        <v>0</v>
      </c>
    </row>
    <row r="4" spans="1:11" x14ac:dyDescent="0.3">
      <c r="A4" s="36">
        <v>46139.335763888892</v>
      </c>
      <c r="B4" t="s">
        <v>39</v>
      </c>
      <c r="C4" t="s">
        <v>23</v>
      </c>
      <c r="D4">
        <v>626.23</v>
      </c>
      <c r="E4">
        <v>2.9000000000000001E-2</v>
      </c>
      <c r="F4">
        <v>18.160699999999999</v>
      </c>
      <c r="G4">
        <v>2.0659999999999999E-5</v>
      </c>
      <c r="H4">
        <v>0</v>
      </c>
      <c r="I4">
        <v>0</v>
      </c>
      <c r="J4">
        <v>0</v>
      </c>
      <c r="K4">
        <v>0</v>
      </c>
    </row>
  </sheetData>
  <pageMargins left="0.7" right="0.7" top="0.78740157499999996" bottom="0.78740157499999996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8</vt:i4>
      </vt:variant>
    </vt:vector>
  </HeadingPairs>
  <TitlesOfParts>
    <vt:vector size="8" baseType="lpstr">
      <vt:lpstr>Shrnuti</vt:lpstr>
      <vt:lpstr>BTC</vt:lpstr>
      <vt:lpstr>BCH</vt:lpstr>
      <vt:lpstr>SHIBA</vt:lpstr>
      <vt:lpstr>TRX</vt:lpstr>
      <vt:lpstr>XRP</vt:lpstr>
      <vt:lpstr>PEPE</vt:lpstr>
      <vt:lpstr>BNB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Přikryl</dc:creator>
  <cp:lastModifiedBy>Jan Přikryl</cp:lastModifiedBy>
  <dcterms:created xsi:type="dcterms:W3CDTF">2026-05-10T12:43:05Z</dcterms:created>
  <dcterms:modified xsi:type="dcterms:W3CDTF">2026-05-11T19:14:09Z</dcterms:modified>
</cp:coreProperties>
</file>