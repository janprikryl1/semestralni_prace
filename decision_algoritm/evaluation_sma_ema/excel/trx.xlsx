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.prikryl\Desktop\Semestralni projekt\decision_algoritm\evaluation_sma_ema\excel\"/>
    </mc:Choice>
  </mc:AlternateContent>
  <xr:revisionPtr revIDLastSave="0" documentId="13_ncr:1_{A96499D6-DCAF-4E0D-93D5-7A198D4C58AA}" xr6:coauthVersionLast="47" xr6:coauthVersionMax="47" xr10:uidLastSave="{00000000-0000-0000-0000-000000000000}"/>
  <bookViews>
    <workbookView xWindow="-28920" yWindow="-120" windowWidth="29040" windowHeight="15720" xr2:uid="{5E2EA385-0871-4421-A18F-2C72745AFABD}"/>
  </bookViews>
  <sheets>
    <sheet name="tr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M11" i="1"/>
  <c r="M10" i="1"/>
  <c r="M9" i="1"/>
  <c r="M7" i="1"/>
  <c r="M6" i="1"/>
  <c r="M5" i="1"/>
  <c r="N4" i="1"/>
  <c r="N5" i="1" s="1"/>
  <c r="N6" i="1" s="1"/>
  <c r="N7" i="1" s="1"/>
  <c r="M4" i="1"/>
  <c r="K4" i="1"/>
  <c r="K5" i="1" s="1"/>
  <c r="J4" i="1"/>
  <c r="J5" i="1" s="1"/>
  <c r="J6" i="1" s="1"/>
  <c r="J7" i="1" s="1"/>
  <c r="K6" i="1" l="1"/>
  <c r="L5" i="1"/>
  <c r="L4" i="1"/>
  <c r="K7" i="1" l="1"/>
  <c r="L6" i="1"/>
  <c r="K8" i="1" l="1"/>
  <c r="L7" i="1"/>
  <c r="M8" i="1" l="1"/>
  <c r="N8" i="1" s="1"/>
  <c r="N9" i="1" s="1"/>
  <c r="N10" i="1" s="1"/>
  <c r="N11" i="1" s="1"/>
  <c r="N12" i="1" s="1"/>
  <c r="J8" i="1"/>
  <c r="J9" i="1" s="1"/>
  <c r="J10" i="1" s="1"/>
  <c r="J11" i="1" s="1"/>
  <c r="J12" i="1" s="1"/>
  <c r="K9" i="1"/>
  <c r="L8" i="1" l="1"/>
  <c r="K10" i="1"/>
  <c r="L9" i="1"/>
  <c r="L10" i="1" l="1"/>
  <c r="K11" i="1"/>
  <c r="K12" i="1" l="1"/>
  <c r="L11" i="1"/>
  <c r="K13" i="1" l="1"/>
  <c r="L12" i="1"/>
  <c r="M13" i="1" l="1"/>
  <c r="N13" i="1" s="1"/>
  <c r="J13" i="1"/>
  <c r="K14" i="1"/>
  <c r="L13" i="1"/>
  <c r="M14" i="1" s="1"/>
  <c r="J14" i="1" l="1"/>
  <c r="L14" i="1" s="1"/>
  <c r="N14" i="1"/>
</calcChain>
</file>

<file path=xl/sharedStrings.xml><?xml version="1.0" encoding="utf-8"?>
<sst xmlns="http://schemas.openxmlformats.org/spreadsheetml/2006/main" count="36" uniqueCount="17">
  <si>
    <t>Datum (UTC)</t>
  </si>
  <si>
    <t>Symbol</t>
  </si>
  <si>
    <t>Směr</t>
  </si>
  <si>
    <t>Cena</t>
  </si>
  <si>
    <t>Qty</t>
  </si>
  <si>
    <t>Notional</t>
  </si>
  <si>
    <t>Fee (BNB)</t>
  </si>
  <si>
    <t xml:space="preserve">AvgCost </t>
  </si>
  <si>
    <t>QtyPo</t>
  </si>
  <si>
    <t>TRXUSDC</t>
  </si>
  <si>
    <t>BUY</t>
  </si>
  <si>
    <t>SELL</t>
  </si>
  <si>
    <t>TotalCost_calc</t>
  </si>
  <si>
    <t>Qty_calc</t>
  </si>
  <si>
    <t>AvgCost_calc</t>
  </si>
  <si>
    <t>TradePnL_calc</t>
  </si>
  <si>
    <t>KumPnL_calc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</si>
</sst>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1"/>
      <color rgb="FF000000"/>
      <name val="Aptos Narrow"/>
      <family val="2"/>
      <charset val="238"/>
      <scheme val="minor"/>
    </font>
    <font>
      <b/>
      <sz val="11"/>
      <name val="Aptos Narrow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/>
    <xf numFmtId="0" fontId="3" fillId="0" borderId="1" xfId="0" applyFont="1" applyBorder="1"/>
    <xf numFmtId="0" fontId="3" fillId="0" borderId="2" xfId="0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/>
    <xf numFmtId="0" fontId="0" fillId="0" borderId="0" xfId="0" applyBorder="1"/>
    <xf numFmtId="0" fontId="0" fillId="0" borderId="5" xfId="0" applyBorder="1"/>
    <xf numFmtId="0" fontId="0" fillId="0" borderId="4" xfId="0" applyBorder="1"/>
    <xf numFmtId="22" fontId="0" fillId="0" borderId="4" xfId="0" applyNumberFormat="1" applyBorder="1"/>
    <xf numFmtId="22" fontId="0" fillId="0" borderId="6" xfId="0" applyNumberFormat="1" applyBorder="1"/>
    <xf numFmtId="0" fontId="0" fillId="0" borderId="7" xfId="0" applyBorder="1"/>
    <xf numFmtId="0" fontId="0" fillId="0" borderId="8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E4C5E-A581-43CB-9284-16151B5EBEA1}">
  <dimension ref="A1:N14"/>
  <sheetViews>
    <sheetView tabSelected="1" workbookViewId="0">
      <selection activeCell="K22" sqref="K22"/>
    </sheetView>
  </sheetViews>
  <sheetFormatPr defaultRowHeight="14.4" x14ac:dyDescent="0.3"/>
  <cols>
    <col min="1" max="1" width="15.109375" customWidth="1"/>
    <col min="6" max="6" width="11.21875" customWidth="1"/>
    <col min="7" max="7" width="13.5546875" customWidth="1"/>
    <col min="8" max="8" width="10.6640625" customWidth="1"/>
    <col min="9" max="9" width="11.44140625" customWidth="1"/>
    <col min="10" max="10" width="14.77734375" customWidth="1"/>
    <col min="12" max="12" width="13.109375" customWidth="1"/>
    <col min="13" max="13" width="14.109375" customWidth="1"/>
    <col min="14" max="14" width="12.5546875" customWidth="1"/>
  </cols>
  <sheetData>
    <row r="1" spans="1:14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12</v>
      </c>
      <c r="K1" s="4" t="s">
        <v>13</v>
      </c>
      <c r="L1" s="4" t="s">
        <v>14</v>
      </c>
      <c r="M1" s="4" t="s">
        <v>15</v>
      </c>
      <c r="N1" s="5" t="s">
        <v>16</v>
      </c>
    </row>
    <row r="2" spans="1:14" x14ac:dyDescent="0.3">
      <c r="A2" s="6"/>
      <c r="B2" s="1"/>
      <c r="C2" s="1"/>
      <c r="D2" s="1"/>
      <c r="E2" s="1"/>
      <c r="F2" s="1"/>
      <c r="G2" s="1"/>
      <c r="H2" s="1"/>
      <c r="I2" s="1"/>
      <c r="J2" s="7">
        <v>0</v>
      </c>
      <c r="K2" s="7">
        <v>0</v>
      </c>
      <c r="L2" s="7">
        <v>0</v>
      </c>
      <c r="M2" s="7">
        <v>0</v>
      </c>
      <c r="N2" s="8">
        <v>0</v>
      </c>
    </row>
    <row r="3" spans="1:14" x14ac:dyDescent="0.3">
      <c r="A3" s="9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 spans="1:14" x14ac:dyDescent="0.3">
      <c r="A4" s="10">
        <v>46139.402754629627</v>
      </c>
      <c r="B4" s="7" t="s">
        <v>9</v>
      </c>
      <c r="C4" s="7" t="s">
        <v>10</v>
      </c>
      <c r="D4" s="7">
        <v>0.3246</v>
      </c>
      <c r="E4" s="7">
        <v>48.1</v>
      </c>
      <c r="F4" s="7">
        <v>15.613300000000001</v>
      </c>
      <c r="G4" s="7">
        <v>1.77E-5</v>
      </c>
      <c r="H4" s="7">
        <v>0.3246</v>
      </c>
      <c r="I4" s="7">
        <v>48.1</v>
      </c>
      <c r="J4" s="7">
        <f>IF(C4="BUY",J2+F4,J2-L2*E4)</f>
        <v>15.613300000000001</v>
      </c>
      <c r="K4" s="7">
        <f>IF(C4="BUY",K2+E4,K2-E4)</f>
        <v>48.1</v>
      </c>
      <c r="L4" s="7">
        <f t="shared" ref="L4:L14" si="0">IF(K4&gt;0,J4/K4,0)</f>
        <v>0.32460083160083159</v>
      </c>
      <c r="M4" s="7">
        <f>IF(C4="SELL",F4-L2*E4,0)</f>
        <v>0</v>
      </c>
      <c r="N4" s="8">
        <f>N2+IF(C4="SELL",M4,0)</f>
        <v>0</v>
      </c>
    </row>
    <row r="5" spans="1:14" x14ac:dyDescent="0.3">
      <c r="A5" s="10">
        <v>46139.410567129627</v>
      </c>
      <c r="B5" s="7" t="s">
        <v>9</v>
      </c>
      <c r="C5" s="7" t="s">
        <v>10</v>
      </c>
      <c r="D5" s="7">
        <v>0.32469999999999999</v>
      </c>
      <c r="E5" s="7">
        <v>35.6</v>
      </c>
      <c r="F5" s="7">
        <v>11.5593</v>
      </c>
      <c r="G5" s="7">
        <v>1.31E-5</v>
      </c>
      <c r="H5" s="7">
        <v>0.32464300000000001</v>
      </c>
      <c r="I5" s="7">
        <v>83.7</v>
      </c>
      <c r="J5" s="7">
        <f>IF(C5="BUY",J4+F5,J4-L4*E5)</f>
        <v>27.172600000000003</v>
      </c>
      <c r="K5" s="7">
        <f>IF(C5="BUY",K4+E5,K4-E5)</f>
        <v>83.7</v>
      </c>
      <c r="L5" s="7">
        <f t="shared" si="0"/>
        <v>0.32464277180406215</v>
      </c>
      <c r="M5" s="7">
        <f>IF(C5="SELL",F5-L4*E5,0)</f>
        <v>0</v>
      </c>
      <c r="N5" s="8">
        <f>N4+IF(C5="SELL",M5,0)</f>
        <v>0</v>
      </c>
    </row>
    <row r="6" spans="1:14" x14ac:dyDescent="0.3">
      <c r="A6" s="10">
        <v>46139.444513888891</v>
      </c>
      <c r="B6" s="7" t="s">
        <v>9</v>
      </c>
      <c r="C6" s="7" t="s">
        <v>10</v>
      </c>
      <c r="D6" s="7">
        <v>0.32550000000000001</v>
      </c>
      <c r="E6" s="7">
        <v>26.2</v>
      </c>
      <c r="F6" s="7">
        <v>8.5281000000000002</v>
      </c>
      <c r="G6" s="7">
        <v>9.6700000000000006E-6</v>
      </c>
      <c r="H6" s="7">
        <v>0.324847</v>
      </c>
      <c r="I6" s="7">
        <v>109.9</v>
      </c>
      <c r="J6" s="7">
        <f>IF(C6="BUY",J5+F6,J5-L5*E6)</f>
        <v>35.700700000000005</v>
      </c>
      <c r="K6" s="7">
        <f>IF(C6="BUY",K5+E6,K5-E6)</f>
        <v>109.9</v>
      </c>
      <c r="L6" s="7">
        <f t="shared" si="0"/>
        <v>0.32484713375796181</v>
      </c>
      <c r="M6" s="7">
        <f>IF(C6="SELL",F6-L5*E6,0)</f>
        <v>0</v>
      </c>
      <c r="N6" s="8">
        <f>N5+IF(C6="SELL",M6,0)</f>
        <v>0</v>
      </c>
    </row>
    <row r="7" spans="1:14" x14ac:dyDescent="0.3">
      <c r="A7" s="10">
        <v>46139.4684375</v>
      </c>
      <c r="B7" s="7" t="s">
        <v>9</v>
      </c>
      <c r="C7" s="7" t="s">
        <v>10</v>
      </c>
      <c r="D7" s="7">
        <v>0.32529999999999998</v>
      </c>
      <c r="E7" s="7">
        <v>19.399999999999999</v>
      </c>
      <c r="F7" s="7">
        <v>6.3108000000000004</v>
      </c>
      <c r="G7" s="7">
        <v>7.17E-6</v>
      </c>
      <c r="H7" s="7">
        <v>0.32491500000000001</v>
      </c>
      <c r="I7" s="7">
        <v>129.30000000000001</v>
      </c>
      <c r="J7" s="7">
        <f>IF(C7="BUY",J6+F7,J6-L6*E7)</f>
        <v>42.011500000000005</v>
      </c>
      <c r="K7" s="7">
        <f>IF(C7="BUY",K6+E7,K6-E7)</f>
        <v>129.30000000000001</v>
      </c>
      <c r="L7" s="7">
        <f t="shared" si="0"/>
        <v>0.32491492652745552</v>
      </c>
      <c r="M7" s="7">
        <f>IF(C7="SELL",F7-L6*E7,0)</f>
        <v>0</v>
      </c>
      <c r="N7" s="8">
        <f>N6+IF(C7="SELL",M7,0)</f>
        <v>0</v>
      </c>
    </row>
    <row r="8" spans="1:14" x14ac:dyDescent="0.3">
      <c r="A8" s="10">
        <v>46140.793275462966</v>
      </c>
      <c r="B8" s="7" t="s">
        <v>9</v>
      </c>
      <c r="C8" s="7" t="s">
        <v>11</v>
      </c>
      <c r="D8" s="7">
        <v>0.32350000000000001</v>
      </c>
      <c r="E8" s="7">
        <v>110</v>
      </c>
      <c r="F8" s="7">
        <v>35.585000000000001</v>
      </c>
      <c r="G8" s="7">
        <v>4.0649999999999999E-5</v>
      </c>
      <c r="H8" s="7">
        <v>0.32491500000000001</v>
      </c>
      <c r="I8" s="7">
        <v>19.3</v>
      </c>
      <c r="J8" s="7">
        <f>IF(C8="BUY",J7+F8,J7-L7*E8)</f>
        <v>6.2708580819798954</v>
      </c>
      <c r="K8" s="7">
        <f>IF(C8="BUY",K7+E8,K7-E8)</f>
        <v>19.300000000000011</v>
      </c>
      <c r="L8" s="7">
        <f t="shared" si="0"/>
        <v>0.32491492652745552</v>
      </c>
      <c r="M8" s="7">
        <f>IF(C8="SELL",F8-L7*E8,0)</f>
        <v>-0.15564191802010896</v>
      </c>
      <c r="N8" s="8">
        <f>N7+IF(C8="SELL",M8,0)</f>
        <v>-0.15564191802010896</v>
      </c>
    </row>
    <row r="9" spans="1:14" x14ac:dyDescent="0.3">
      <c r="A9" s="10">
        <v>46146.864247685182</v>
      </c>
      <c r="B9" s="7" t="s">
        <v>9</v>
      </c>
      <c r="C9" s="7" t="s">
        <v>10</v>
      </c>
      <c r="D9" s="7">
        <v>0.34110000000000001</v>
      </c>
      <c r="E9" s="7">
        <v>26.4</v>
      </c>
      <c r="F9" s="7">
        <v>9.0050000000000008</v>
      </c>
      <c r="G9" s="7">
        <v>1.029E-5</v>
      </c>
      <c r="H9" s="7">
        <v>0.33426499999999998</v>
      </c>
      <c r="I9" s="7">
        <v>45.7</v>
      </c>
      <c r="J9" s="7">
        <f>IF(C9="BUY",J8+F9,J8-L8*E9)</f>
        <v>15.275858081979896</v>
      </c>
      <c r="K9" s="7">
        <f>IF(C9="BUY",K8+E9,K8-E9)</f>
        <v>45.70000000000001</v>
      </c>
      <c r="L9" s="7">
        <f t="shared" si="0"/>
        <v>0.33426385299737182</v>
      </c>
      <c r="M9" s="7">
        <f>IF(C9="SELL",F9-L8*E9,0)</f>
        <v>0</v>
      </c>
      <c r="N9" s="8">
        <f>N8+IF(C9="SELL",M9,0)</f>
        <v>-0.15564191802010896</v>
      </c>
    </row>
    <row r="10" spans="1:14" x14ac:dyDescent="0.3">
      <c r="A10" s="10">
        <v>46146.874722222223</v>
      </c>
      <c r="B10" s="7" t="s">
        <v>9</v>
      </c>
      <c r="C10" s="7" t="s">
        <v>10</v>
      </c>
      <c r="D10" s="7">
        <v>0.34110000000000001</v>
      </c>
      <c r="E10" s="7">
        <v>20.8</v>
      </c>
      <c r="F10" s="7">
        <v>7.0949</v>
      </c>
      <c r="G10" s="7">
        <v>8.1000000000000004E-6</v>
      </c>
      <c r="H10" s="7">
        <v>0.33640300000000001</v>
      </c>
      <c r="I10" s="7">
        <v>66.5</v>
      </c>
      <c r="J10" s="7">
        <f>IF(C10="BUY",J9+F10,J9-L9*E10)</f>
        <v>22.370758081979897</v>
      </c>
      <c r="K10" s="7">
        <f>IF(C10="BUY",K9+E10,K9-E10)</f>
        <v>66.500000000000014</v>
      </c>
      <c r="L10" s="7">
        <f t="shared" si="0"/>
        <v>0.33640237717262994</v>
      </c>
      <c r="M10" s="7">
        <f>IF(C10="SELL",F10-L9*E10,0)</f>
        <v>0</v>
      </c>
      <c r="N10" s="8">
        <f>N9+IF(C10="SELL",M10,0)</f>
        <v>-0.15564191802010896</v>
      </c>
    </row>
    <row r="11" spans="1:14" x14ac:dyDescent="0.3">
      <c r="A11" s="10">
        <v>46146.885196759256</v>
      </c>
      <c r="B11" s="7" t="s">
        <v>9</v>
      </c>
      <c r="C11" s="7" t="s">
        <v>10</v>
      </c>
      <c r="D11" s="7">
        <v>0.3412</v>
      </c>
      <c r="E11" s="7">
        <v>14.9</v>
      </c>
      <c r="F11" s="7">
        <v>5.0838999999999999</v>
      </c>
      <c r="G11" s="7">
        <v>5.8000000000000004E-6</v>
      </c>
      <c r="H11" s="7">
        <v>0.337281</v>
      </c>
      <c r="I11" s="7">
        <v>81.400000000000006</v>
      </c>
      <c r="J11" s="7">
        <f>IF(C11="BUY",J10+F11,J10-L10*E11)</f>
        <v>27.454658081979897</v>
      </c>
      <c r="K11" s="7">
        <f>IF(C11="BUY",K10+E11,K10-E11)</f>
        <v>81.40000000000002</v>
      </c>
      <c r="L11" s="7">
        <f t="shared" si="0"/>
        <v>0.33728081181793479</v>
      </c>
      <c r="M11" s="7">
        <f>IF(C11="SELL",F11-L10*E11,0)</f>
        <v>0</v>
      </c>
      <c r="N11" s="8">
        <f>N10+IF(C11="SELL",M11,0)</f>
        <v>-0.15564191802010896</v>
      </c>
    </row>
    <row r="12" spans="1:14" x14ac:dyDescent="0.3">
      <c r="A12" s="10">
        <v>46146.95853009259</v>
      </c>
      <c r="B12" s="7" t="s">
        <v>9</v>
      </c>
      <c r="C12" s="7" t="s">
        <v>10</v>
      </c>
      <c r="D12" s="7">
        <v>0.3407</v>
      </c>
      <c r="E12" s="7">
        <v>14.7</v>
      </c>
      <c r="F12" s="7">
        <v>5.0083000000000002</v>
      </c>
      <c r="G12" s="7">
        <v>5.6999999999999996E-6</v>
      </c>
      <c r="H12" s="7">
        <v>0.33780399999999999</v>
      </c>
      <c r="I12" s="7">
        <v>96.1</v>
      </c>
      <c r="J12" s="7">
        <f>IF(C12="BUY",J11+F12,J11-L11*E12)</f>
        <v>32.462958081979899</v>
      </c>
      <c r="K12" s="7">
        <f>IF(C12="BUY",K11+E12,K11-E12)</f>
        <v>96.100000000000023</v>
      </c>
      <c r="L12" s="7">
        <f t="shared" si="0"/>
        <v>0.3378039342557741</v>
      </c>
      <c r="M12" s="7">
        <f>IF(C12="SELL",F12-L11*E12,0)</f>
        <v>0</v>
      </c>
      <c r="N12" s="8">
        <f>N11+IF(C12="SELL",M12,0)</f>
        <v>-0.15564191802010896</v>
      </c>
    </row>
    <row r="13" spans="1:14" x14ac:dyDescent="0.3">
      <c r="A13" s="10">
        <v>46147.104884259257</v>
      </c>
      <c r="B13" s="7" t="s">
        <v>9</v>
      </c>
      <c r="C13" s="7" t="s">
        <v>11</v>
      </c>
      <c r="D13" s="7">
        <v>0.34010000000000001</v>
      </c>
      <c r="E13" s="7">
        <v>76.8</v>
      </c>
      <c r="F13" s="7">
        <v>26.119700000000002</v>
      </c>
      <c r="G13" s="7">
        <v>2.9750000000000001E-5</v>
      </c>
      <c r="H13" s="7">
        <v>0.33780399999999999</v>
      </c>
      <c r="I13" s="7">
        <v>19.3</v>
      </c>
      <c r="J13" s="7">
        <f>IF(C13="BUY",J12+F13,J12-L12*E13)</f>
        <v>6.5196159311364497</v>
      </c>
      <c r="K13" s="7">
        <f>IF(C13="BUY",K12+E13,K12-E13)</f>
        <v>19.300000000000026</v>
      </c>
      <c r="L13" s="7">
        <f t="shared" si="0"/>
        <v>0.33780393425577415</v>
      </c>
      <c r="M13" s="7">
        <f>IF(C13="SELL",F13-L12*E13,0)</f>
        <v>0.1763578491565525</v>
      </c>
      <c r="N13" s="8">
        <f>N12+IF(C13="SELL",M13,0)</f>
        <v>2.0715931136443544E-2</v>
      </c>
    </row>
    <row r="14" spans="1:14" ht="15" thickBot="1" x14ac:dyDescent="0.35">
      <c r="A14" s="11">
        <v>46147.115358796298</v>
      </c>
      <c r="B14" s="12" t="s">
        <v>9</v>
      </c>
      <c r="C14" s="12" t="s">
        <v>11</v>
      </c>
      <c r="D14" s="12">
        <v>0.34029999999999999</v>
      </c>
      <c r="E14" s="12">
        <v>15.4</v>
      </c>
      <c r="F14" s="12">
        <v>5.2405999999999997</v>
      </c>
      <c r="G14" s="12">
        <v>5.9499999999999998E-6</v>
      </c>
      <c r="H14" s="12">
        <v>0.33780399999999999</v>
      </c>
      <c r="I14" s="12">
        <v>3.9</v>
      </c>
      <c r="J14" s="12">
        <f>IF(C14="BUY",J13+F14,J13-L13*E14)</f>
        <v>1.3174353435975279</v>
      </c>
      <c r="K14" s="12">
        <f>IF(C14="BUY",K13+E14,K13-E14)</f>
        <v>3.9000000000000252</v>
      </c>
      <c r="L14" s="12">
        <f t="shared" si="0"/>
        <v>0.33780393425577421</v>
      </c>
      <c r="M14" s="12">
        <f>IF(C14="SELL",F14-L13*E14,0)</f>
        <v>3.841941246107794E-2</v>
      </c>
      <c r="N14" s="13">
        <f>N13+IF(C14="SELL",M14,0)</f>
        <v>5.9135343597521484E-2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trx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Přikryl</dc:creator>
  <cp:lastModifiedBy>Jan Přikryl</cp:lastModifiedBy>
  <dcterms:created xsi:type="dcterms:W3CDTF">2026-05-10T09:53:05Z</dcterms:created>
  <dcterms:modified xsi:type="dcterms:W3CDTF">2026-05-11T07:54:28Z</dcterms:modified>
</cp:coreProperties>
</file>