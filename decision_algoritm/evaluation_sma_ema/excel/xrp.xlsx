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.prikryl\Desktop\Semestralni projekt\decision_algoritm\evaluation_sma_ema\excel\"/>
    </mc:Choice>
  </mc:AlternateContent>
  <xr:revisionPtr revIDLastSave="0" documentId="13_ncr:1_{27877801-46A4-46E9-8976-99FA8421FE0B}" xr6:coauthVersionLast="47" xr6:coauthVersionMax="47" xr10:uidLastSave="{00000000-0000-0000-0000-000000000000}"/>
  <bookViews>
    <workbookView xWindow="-28920" yWindow="-120" windowWidth="29040" windowHeight="15720" xr2:uid="{1009BFAB-EEAA-4D0A-B521-88E40E2D3CF3}"/>
  </bookViews>
  <sheets>
    <sheet name="XR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M4" i="1"/>
  <c r="K4" i="1"/>
  <c r="J4" i="1"/>
  <c r="L4" i="1" l="1"/>
  <c r="M5" i="1" s="1"/>
  <c r="J5" i="1"/>
  <c r="N5" i="1"/>
  <c r="K5" i="1"/>
  <c r="K6" i="1" l="1"/>
  <c r="L5" i="1"/>
  <c r="M6" i="1" s="1"/>
  <c r="N6" i="1" s="1"/>
  <c r="J6" i="1" l="1"/>
  <c r="L6" i="1"/>
</calcChain>
</file>

<file path=xl/sharedStrings.xml><?xml version="1.0" encoding="utf-8"?>
<sst xmlns="http://schemas.openxmlformats.org/spreadsheetml/2006/main" count="21" uniqueCount="19">
  <si>
    <t>Datum (UTC)</t>
  </si>
  <si>
    <t>Symbol</t>
  </si>
  <si>
    <t>Směr</t>
  </si>
  <si>
    <t>Cena</t>
  </si>
  <si>
    <t>Qty</t>
  </si>
  <si>
    <t>Notional</t>
  </si>
  <si>
    <t>Fee (BNB)</t>
  </si>
  <si>
    <t xml:space="preserve">AvgCost </t>
  </si>
  <si>
    <t>QtyPo</t>
  </si>
  <si>
    <t xml:space="preserve"> XRPUSDC</t>
  </si>
  <si>
    <t>BUY</t>
  </si>
  <si>
    <t>XRPUSDC</t>
  </si>
  <si>
    <t>SELL</t>
  </si>
  <si>
    <t>1.300000</t>
  </si>
  <si>
    <t>TotalCost_calc</t>
  </si>
  <si>
    <t>Qty_calc</t>
  </si>
  <si>
    <t>AvgCost_calc</t>
  </si>
  <si>
    <t>TradePnL_calc</t>
  </si>
  <si>
    <t>KumPnL_calc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</si>
</sst>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22" fontId="0" fillId="0" borderId="4" xfId="0" applyNumberFormat="1" applyBorder="1"/>
    <xf numFmtId="22" fontId="0" fillId="0" borderId="6" xfId="0" applyNumberFormat="1" applyBorder="1"/>
    <xf numFmtId="0" fontId="0" fillId="0" borderId="7" xfId="0" applyBorder="1"/>
    <xf numFmtId="0" fontId="0" fillId="0" borderId="8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C2F0-E58A-453F-9583-5D8B5743F78F}">
  <dimension ref="A1:N6"/>
  <sheetViews>
    <sheetView tabSelected="1" workbookViewId="0">
      <selection activeCell="H25" sqref="H25"/>
    </sheetView>
  </sheetViews>
  <sheetFormatPr defaultRowHeight="14.4" x14ac:dyDescent="0.3"/>
  <cols>
    <col min="1" max="1" width="16" customWidth="1"/>
    <col min="7" max="7" width="13.109375" customWidth="1"/>
    <col min="9" max="9" width="12" customWidth="1"/>
    <col min="10" max="10" width="14.33203125" customWidth="1"/>
    <col min="12" max="12" width="13" customWidth="1"/>
    <col min="13" max="13" width="13.5546875" customWidth="1"/>
    <col min="14" max="14" width="12.6640625" customWidth="1"/>
  </cols>
  <sheetData>
    <row r="1" spans="1:1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14</v>
      </c>
      <c r="K1" s="4" t="s">
        <v>15</v>
      </c>
      <c r="L1" s="4" t="s">
        <v>16</v>
      </c>
      <c r="M1" s="4" t="s">
        <v>17</v>
      </c>
      <c r="N1" s="5" t="s">
        <v>18</v>
      </c>
    </row>
    <row r="2" spans="1:14" x14ac:dyDescent="0.3">
      <c r="A2" s="6"/>
      <c r="B2" s="1"/>
      <c r="C2" s="1"/>
      <c r="D2" s="1"/>
      <c r="E2" s="1"/>
      <c r="F2" s="1"/>
      <c r="G2" s="1"/>
      <c r="H2" s="1"/>
      <c r="I2" s="1"/>
      <c r="J2" s="1">
        <v>0</v>
      </c>
      <c r="K2" s="1">
        <v>0</v>
      </c>
      <c r="L2" s="1">
        <v>0</v>
      </c>
      <c r="M2" s="1">
        <v>0</v>
      </c>
      <c r="N2" s="7">
        <v>0</v>
      </c>
    </row>
    <row r="3" spans="1:14" x14ac:dyDescent="0.3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7"/>
    </row>
    <row r="4" spans="1:14" x14ac:dyDescent="0.3">
      <c r="A4" s="8">
        <v>46138.873055555552</v>
      </c>
      <c r="B4" s="1" t="s">
        <v>9</v>
      </c>
      <c r="C4" s="1" t="s">
        <v>10</v>
      </c>
      <c r="D4" s="1">
        <v>1.4285000000000001</v>
      </c>
      <c r="E4" s="1">
        <v>6.1</v>
      </c>
      <c r="F4" s="1">
        <v>8.7139000000000006</v>
      </c>
      <c r="G4" s="1">
        <v>9.7699999999999996E-6</v>
      </c>
      <c r="H4" s="1">
        <v>1.4285000000000001</v>
      </c>
      <c r="I4" s="1">
        <v>6.1</v>
      </c>
      <c r="J4" s="1">
        <f>IF(C4="BUY",J2+F4,J2-L2*E4)</f>
        <v>8.7139000000000006</v>
      </c>
      <c r="K4" s="1">
        <f>IF(C4="BUY",K2+E4,K2-E4)</f>
        <v>6.1</v>
      </c>
      <c r="L4" s="1">
        <f>IF(K4&gt;0,J4/K4,0)</f>
        <v>1.4285081967213116</v>
      </c>
      <c r="M4" s="1">
        <f>IF(C4="SELL",F4-L2*E4,0)</f>
        <v>0</v>
      </c>
      <c r="N4" s="7">
        <f>N2+IF(C4="SELL",M4,0)</f>
        <v>0</v>
      </c>
    </row>
    <row r="5" spans="1:14" x14ac:dyDescent="0.3">
      <c r="A5" s="8">
        <v>46146.853888888887</v>
      </c>
      <c r="B5" s="1" t="s">
        <v>11</v>
      </c>
      <c r="C5" s="1" t="s">
        <v>12</v>
      </c>
      <c r="D5" s="1">
        <v>1.3937999999999999</v>
      </c>
      <c r="E5" s="1">
        <v>4</v>
      </c>
      <c r="F5" s="1">
        <v>5.5751999999999997</v>
      </c>
      <c r="G5" s="1">
        <v>6.3600000000000001E-6</v>
      </c>
      <c r="H5" s="1">
        <v>1.4285000000000001</v>
      </c>
      <c r="I5" s="1">
        <v>2.1</v>
      </c>
      <c r="J5" s="1">
        <f>IF(C5="BUY",J4+F5,J4-L4*E5)</f>
        <v>2.9998672131147543</v>
      </c>
      <c r="K5" s="1">
        <f>IF(C5="BUY",K4+E5,K4-E5)</f>
        <v>2.0999999999999996</v>
      </c>
      <c r="L5" s="1">
        <f>IF(K5&gt;0,J5/K5,0)</f>
        <v>1.4285081967213118</v>
      </c>
      <c r="M5" s="1">
        <f>IF(C5="SELL",F5-L4*E5,0)</f>
        <v>-0.13883278688524658</v>
      </c>
      <c r="N5" s="7">
        <f>N4+IF(C5="SELL",M5,0)</f>
        <v>-0.13883278688524658</v>
      </c>
    </row>
    <row r="6" spans="1:14" ht="15" thickBot="1" x14ac:dyDescent="0.35">
      <c r="A6" s="9">
        <v>46146.853888888887</v>
      </c>
      <c r="B6" s="10" t="s">
        <v>11</v>
      </c>
      <c r="C6" s="10" t="s">
        <v>12</v>
      </c>
      <c r="D6" s="10">
        <v>1.3937999999999999</v>
      </c>
      <c r="E6" s="10">
        <v>0.8</v>
      </c>
      <c r="F6" s="10">
        <v>1.115</v>
      </c>
      <c r="G6" s="10">
        <v>1.26E-6</v>
      </c>
      <c r="H6" s="10">
        <v>1.4285000000000001</v>
      </c>
      <c r="I6" s="10" t="s">
        <v>13</v>
      </c>
      <c r="J6" s="10">
        <f>IF(C6="BUY",J5+F6,J5-L5*E6)</f>
        <v>1.857060655737705</v>
      </c>
      <c r="K6" s="10">
        <f>IF(C6="BUY",K5+E6,K5-E6)</f>
        <v>1.2999999999999996</v>
      </c>
      <c r="L6" s="10">
        <f>IF(K6&gt;0,J6/K6,0)</f>
        <v>1.428508196721312</v>
      </c>
      <c r="M6" s="10">
        <f>IF(C6="SELL",F6-L5*E6,0)</f>
        <v>-2.7806557377049401E-2</v>
      </c>
      <c r="N6" s="11">
        <f>N5+IF(C6="SELL",M6,0)</f>
        <v>-0.16663934426229599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Přikryl</dc:creator>
  <cp:lastModifiedBy>Jan Přikryl</cp:lastModifiedBy>
  <dcterms:created xsi:type="dcterms:W3CDTF">2026-05-10T09:51:54Z</dcterms:created>
  <dcterms:modified xsi:type="dcterms:W3CDTF">2026-05-11T07:52:32Z</dcterms:modified>
</cp:coreProperties>
</file>