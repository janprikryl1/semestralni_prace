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Lis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charset val="238"/>
      <family val="2"/>
      <color theme="1"/>
      <sz val="11"/>
      <scheme val="minor"/>
    </font>
    <font>
      <name val="Aptos Narrow"/>
      <charset val="238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22" fontId="0" fillId="0" borderId="0" pivotButton="0" quotePrefix="0" xfId="0"/>
    <xf numFmtId="0" fontId="2" fillId="0" borderId="0" pivotButton="0" quotePrefix="0" xfId="0"/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tabSelected="1" workbookViewId="0">
      <selection activeCell="K14" sqref="K14"/>
    </sheetView>
  </sheetViews>
  <sheetFormatPr baseColWidth="8" defaultRowHeight="14.4"/>
  <cols>
    <col width="15.109375" customWidth="1" min="1" max="1"/>
    <col width="11.21875" customWidth="1" min="6" max="6"/>
    <col width="13.5546875" customWidth="1" min="7" max="7"/>
    <col width="10.6640625" customWidth="1" min="8" max="8"/>
    <col width="11.44140625" customWidth="1" min="9" max="9"/>
  </cols>
  <sheetData>
    <row r="1">
      <c r="A1" s="1" t="inlineStr">
        <is>
          <t>Datum (UTC)</t>
        </is>
      </c>
      <c r="B1" s="2" t="inlineStr">
        <is>
          <t>Symbol</t>
        </is>
      </c>
      <c r="C1" s="2" t="inlineStr">
        <is>
          <t>Směr</t>
        </is>
      </c>
      <c r="D1" s="2" t="inlineStr">
        <is>
          <t>Cena</t>
        </is>
      </c>
      <c r="E1" s="2" t="inlineStr">
        <is>
          <t>Qty</t>
        </is>
      </c>
      <c r="F1" s="2" t="inlineStr">
        <is>
          <t>Notional</t>
        </is>
      </c>
      <c r="G1" s="2" t="inlineStr">
        <is>
          <t>Fee (BNB)</t>
        </is>
      </c>
      <c r="H1" s="2" t="inlineStr">
        <is>
          <t xml:space="preserve">AvgCost </t>
        </is>
      </c>
      <c r="I1" s="2" t="inlineStr">
        <is>
          <t>QtyPo</t>
        </is>
      </c>
      <c r="J1" s="2" t="inlineStr">
        <is>
          <t>TradePnL</t>
        </is>
      </c>
      <c r="K1" s="3" t="inlineStr">
        <is>
          <t>KumPnL</t>
        </is>
      </c>
      <c r="L1" s="5" t="inlineStr">
        <is>
          <t>TotalCost_calc</t>
        </is>
      </c>
      <c r="M1" s="5" t="inlineStr">
        <is>
          <t>Qty_calc</t>
        </is>
      </c>
      <c r="N1" s="5" t="inlineStr">
        <is>
          <t>AvgCost_calc</t>
        </is>
      </c>
      <c r="O1" s="5" t="inlineStr">
        <is>
          <t>TradePnL_calc</t>
        </is>
      </c>
      <c r="P1" s="5" t="inlineStr">
        <is>
          <t>KumPnL_calc</t>
        </is>
      </c>
    </row>
    <row r="2"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/>
    <row r="4">
      <c r="A4" s="4" t="n">
        <v>46139.40275462963</v>
      </c>
      <c r="B4" t="inlineStr">
        <is>
          <t>TRXUSDC</t>
        </is>
      </c>
      <c r="C4" t="inlineStr">
        <is>
          <t>BUY</t>
        </is>
      </c>
      <c r="D4" t="n">
        <v>0.3246</v>
      </c>
      <c r="E4" t="n">
        <v>48.1</v>
      </c>
      <c r="F4" t="n">
        <v>15.6133</v>
      </c>
      <c r="G4" t="n">
        <v>1.77e-05</v>
      </c>
      <c r="H4" t="n">
        <v>0.3246</v>
      </c>
      <c r="I4" t="n">
        <v>48.1</v>
      </c>
      <c r="L4">
        <f>IF(C4="BUY",L2+F4,L2-N2*E4)</f>
        <v/>
      </c>
      <c r="M4">
        <f>IF(C4="BUY",M2+E4,M2-E4)</f>
        <v/>
      </c>
      <c r="N4">
        <f>IF(M4&gt;0,L4/M4,0)</f>
        <v/>
      </c>
      <c r="O4">
        <f>IF(C4="SELL",F4-N2*E4,0)</f>
        <v/>
      </c>
      <c r="P4">
        <f>P2+IF(C4="SELL",O4,0)</f>
        <v/>
      </c>
    </row>
    <row r="5">
      <c r="A5" s="4" t="n">
        <v>46139.41056712963</v>
      </c>
      <c r="B5" t="inlineStr">
        <is>
          <t>TRXUSDC</t>
        </is>
      </c>
      <c r="C5" t="inlineStr">
        <is>
          <t>BUY</t>
        </is>
      </c>
      <c r="D5" t="n">
        <v>0.3247</v>
      </c>
      <c r="E5" t="n">
        <v>35.6</v>
      </c>
      <c r="F5" t="n">
        <v>11.5593</v>
      </c>
      <c r="G5" t="n">
        <v>1.31e-05</v>
      </c>
      <c r="H5" t="n">
        <v>0.324643</v>
      </c>
      <c r="I5" t="n">
        <v>83.7</v>
      </c>
      <c r="L5">
        <f>IF(C5="BUY",L4+F5,L4-N4*E5)</f>
        <v/>
      </c>
      <c r="M5">
        <f>IF(C5="BUY",M4+E5,M4-E5)</f>
        <v/>
      </c>
      <c r="N5">
        <f>IF(M5&gt;0,L5/M5,0)</f>
        <v/>
      </c>
      <c r="O5">
        <f>IF(C5="SELL",F5-N4*E5,0)</f>
        <v/>
      </c>
      <c r="P5">
        <f>P4+IF(C5="SELL",O5,0)</f>
        <v/>
      </c>
    </row>
    <row r="6">
      <c r="A6" s="4" t="n">
        <v>46139.44451388889</v>
      </c>
      <c r="B6" t="inlineStr">
        <is>
          <t>TRXUSDC</t>
        </is>
      </c>
      <c r="C6" t="inlineStr">
        <is>
          <t>BUY</t>
        </is>
      </c>
      <c r="D6" t="n">
        <v>0.3255</v>
      </c>
      <c r="E6" t="n">
        <v>26.2</v>
      </c>
      <c r="F6" t="n">
        <v>8.5281</v>
      </c>
      <c r="G6" t="n">
        <v>9.670000000000001e-06</v>
      </c>
      <c r="H6" t="n">
        <v>0.324847</v>
      </c>
      <c r="I6" t="n">
        <v>109.9</v>
      </c>
      <c r="L6">
        <f>IF(C6="BUY",L5+F6,L5-N5*E6)</f>
        <v/>
      </c>
      <c r="M6">
        <f>IF(C6="BUY",M5+E6,M5-E6)</f>
        <v/>
      </c>
      <c r="N6">
        <f>IF(M6&gt;0,L6/M6,0)</f>
        <v/>
      </c>
      <c r="O6">
        <f>IF(C6="SELL",F6-N5*E6,0)</f>
        <v/>
      </c>
      <c r="P6">
        <f>P5+IF(C6="SELL",O6,0)</f>
        <v/>
      </c>
    </row>
    <row r="7">
      <c r="A7" s="4" t="n">
        <v>46139.4684375</v>
      </c>
      <c r="B7" t="inlineStr">
        <is>
          <t>TRXUSDC</t>
        </is>
      </c>
      <c r="C7" t="inlineStr">
        <is>
          <t>BUY</t>
        </is>
      </c>
      <c r="D7" t="n">
        <v>0.3253</v>
      </c>
      <c r="E7" t="n">
        <v>19.4</v>
      </c>
      <c r="F7" t="n">
        <v>6.3108</v>
      </c>
      <c r="G7" t="n">
        <v>7.17e-06</v>
      </c>
      <c r="H7" t="n">
        <v>0.324915</v>
      </c>
      <c r="I7" t="n">
        <v>129.3</v>
      </c>
      <c r="L7">
        <f>IF(C7="BUY",L6+F7,L6-N6*E7)</f>
        <v/>
      </c>
      <c r="M7">
        <f>IF(C7="BUY",M6+E7,M6-E7)</f>
        <v/>
      </c>
      <c r="N7">
        <f>IF(M7&gt;0,L7/M7,0)</f>
        <v/>
      </c>
      <c r="O7">
        <f>IF(C7="SELL",F7-N6*E7,0)</f>
        <v/>
      </c>
      <c r="P7">
        <f>P6+IF(C7="SELL",O7,0)</f>
        <v/>
      </c>
    </row>
    <row r="8">
      <c r="A8" s="4" t="n">
        <v>46140.79327546297</v>
      </c>
      <c r="B8" t="inlineStr">
        <is>
          <t>TRXUSDC</t>
        </is>
      </c>
      <c r="C8" t="inlineStr">
        <is>
          <t>SELL</t>
        </is>
      </c>
      <c r="D8" t="n">
        <v>0.3235</v>
      </c>
      <c r="E8" t="n">
        <v>110</v>
      </c>
      <c r="F8" t="n">
        <v>35.585</v>
      </c>
      <c r="G8" t="n">
        <v>4.065e-05</v>
      </c>
      <c r="H8" t="n">
        <v>0.324915</v>
      </c>
      <c r="I8" t="n">
        <v>19.3</v>
      </c>
      <c r="J8" t="n">
        <v>-0.1556</v>
      </c>
      <c r="K8" t="n">
        <v>-0.1556</v>
      </c>
      <c r="L8">
        <f>IF(C8="BUY",L7+F8,L7-N7*E8)</f>
        <v/>
      </c>
      <c r="M8">
        <f>IF(C8="BUY",M7+E8,M7-E8)</f>
        <v/>
      </c>
      <c r="N8">
        <f>IF(M8&gt;0,L8/M8,0)</f>
        <v/>
      </c>
      <c r="O8">
        <f>IF(C8="SELL",F8-N7*E8,0)</f>
        <v/>
      </c>
      <c r="P8">
        <f>P7+IF(C8="SELL",O8,0)</f>
        <v/>
      </c>
    </row>
    <row r="9">
      <c r="A9" s="4" t="n">
        <v>46146.86424768518</v>
      </c>
      <c r="B9" t="inlineStr">
        <is>
          <t>TRXUSDC</t>
        </is>
      </c>
      <c r="C9" t="inlineStr">
        <is>
          <t>BUY</t>
        </is>
      </c>
      <c r="D9" t="n">
        <v>0.3411</v>
      </c>
      <c r="E9" t="n">
        <v>26.4</v>
      </c>
      <c r="F9" t="n">
        <v>9.005000000000001</v>
      </c>
      <c r="G9" t="n">
        <v>1.029e-05</v>
      </c>
      <c r="H9" t="n">
        <v>0.334265</v>
      </c>
      <c r="I9" t="n">
        <v>45.7</v>
      </c>
      <c r="L9">
        <f>IF(C9="BUY",L8+F9,L8-N8*E9)</f>
        <v/>
      </c>
      <c r="M9">
        <f>IF(C9="BUY",M8+E9,M8-E9)</f>
        <v/>
      </c>
      <c r="N9">
        <f>IF(M9&gt;0,L9/M9,0)</f>
        <v/>
      </c>
      <c r="O9">
        <f>IF(C9="SELL",F9-N8*E9,0)</f>
        <v/>
      </c>
      <c r="P9">
        <f>P8+IF(C9="SELL",O9,0)</f>
        <v/>
      </c>
    </row>
    <row r="10">
      <c r="A10" s="4" t="n">
        <v>46146.87472222222</v>
      </c>
      <c r="B10" t="inlineStr">
        <is>
          <t>TRXUSDC</t>
        </is>
      </c>
      <c r="C10" t="inlineStr">
        <is>
          <t>BUY</t>
        </is>
      </c>
      <c r="D10" t="n">
        <v>0.3411</v>
      </c>
      <c r="E10" t="n">
        <v>20.8</v>
      </c>
      <c r="F10" t="n">
        <v>7.0949</v>
      </c>
      <c r="G10" t="n">
        <v>8.1e-06</v>
      </c>
      <c r="H10" t="n">
        <v>0.336403</v>
      </c>
      <c r="I10" t="n">
        <v>66.5</v>
      </c>
      <c r="L10">
        <f>IF(C10="BUY",L9+F10,L9-N9*E10)</f>
        <v/>
      </c>
      <c r="M10">
        <f>IF(C10="BUY",M9+E10,M9-E10)</f>
        <v/>
      </c>
      <c r="N10">
        <f>IF(M10&gt;0,L10/M10,0)</f>
        <v/>
      </c>
      <c r="O10">
        <f>IF(C10="SELL",F10-N9*E10,0)</f>
        <v/>
      </c>
      <c r="P10">
        <f>P9+IF(C10="SELL",O10,0)</f>
        <v/>
      </c>
    </row>
    <row r="11">
      <c r="A11" s="4" t="n">
        <v>46146.88519675926</v>
      </c>
      <c r="B11" t="inlineStr">
        <is>
          <t>TRXUSDC</t>
        </is>
      </c>
      <c r="C11" t="inlineStr">
        <is>
          <t>BUY</t>
        </is>
      </c>
      <c r="D11" t="n">
        <v>0.3412</v>
      </c>
      <c r="E11" t="n">
        <v>14.9</v>
      </c>
      <c r="F11" t="n">
        <v>5.0839</v>
      </c>
      <c r="G11" t="n">
        <v>5.8e-06</v>
      </c>
      <c r="H11" t="n">
        <v>0.337281</v>
      </c>
      <c r="I11" t="n">
        <v>81.40000000000001</v>
      </c>
      <c r="L11">
        <f>IF(C11="BUY",L10+F11,L10-N10*E11)</f>
        <v/>
      </c>
      <c r="M11">
        <f>IF(C11="BUY",M10+E11,M10-E11)</f>
        <v/>
      </c>
      <c r="N11">
        <f>IF(M11&gt;0,L11/M11,0)</f>
        <v/>
      </c>
      <c r="O11">
        <f>IF(C11="SELL",F11-N10*E11,0)</f>
        <v/>
      </c>
      <c r="P11">
        <f>P10+IF(C11="SELL",O11,0)</f>
        <v/>
      </c>
    </row>
    <row r="12">
      <c r="A12" s="4" t="n">
        <v>46146.95853009259</v>
      </c>
      <c r="B12" t="inlineStr">
        <is>
          <t>TRXUSDC</t>
        </is>
      </c>
      <c r="C12" t="inlineStr">
        <is>
          <t>BUY</t>
        </is>
      </c>
      <c r="D12" t="n">
        <v>0.3407</v>
      </c>
      <c r="E12" t="n">
        <v>14.7</v>
      </c>
      <c r="F12" t="n">
        <v>5.0083</v>
      </c>
      <c r="G12" t="n">
        <v>5.7e-06</v>
      </c>
      <c r="H12" t="n">
        <v>0.337804</v>
      </c>
      <c r="I12" t="n">
        <v>96.09999999999999</v>
      </c>
      <c r="L12">
        <f>IF(C12="BUY",L11+F12,L11-N11*E12)</f>
        <v/>
      </c>
      <c r="M12">
        <f>IF(C12="BUY",M11+E12,M11-E12)</f>
        <v/>
      </c>
      <c r="N12">
        <f>IF(M12&gt;0,L12/M12,0)</f>
        <v/>
      </c>
      <c r="O12">
        <f>IF(C12="SELL",F12-N11*E12,0)</f>
        <v/>
      </c>
      <c r="P12">
        <f>P11+IF(C12="SELL",O12,0)</f>
        <v/>
      </c>
    </row>
    <row r="13">
      <c r="A13" s="4" t="n">
        <v>46147.10488425926</v>
      </c>
      <c r="B13" t="inlineStr">
        <is>
          <t>TRXUSDC</t>
        </is>
      </c>
      <c r="C13" t="inlineStr">
        <is>
          <t>SELL</t>
        </is>
      </c>
      <c r="D13" t="n">
        <v>0.3401</v>
      </c>
      <c r="E13" t="n">
        <v>76.8</v>
      </c>
      <c r="F13" t="n">
        <v>26.1197</v>
      </c>
      <c r="G13" t="n">
        <v>2.975e-05</v>
      </c>
      <c r="H13" t="n">
        <v>0.337804</v>
      </c>
      <c r="I13" t="n">
        <v>19.3</v>
      </c>
      <c r="J13" t="n">
        <v>0.1763</v>
      </c>
      <c r="K13" t="n">
        <v>0.0207</v>
      </c>
      <c r="L13">
        <f>IF(C13="BUY",L12+F13,L12-N12*E13)</f>
        <v/>
      </c>
      <c r="M13">
        <f>IF(C13="BUY",M12+E13,M12-E13)</f>
        <v/>
      </c>
      <c r="N13">
        <f>IF(M13&gt;0,L13/M13,0)</f>
        <v/>
      </c>
      <c r="O13">
        <f>IF(C13="SELL",F13-N12*E13,0)</f>
        <v/>
      </c>
      <c r="P13">
        <f>P12+IF(C13="SELL",O13,0)</f>
        <v/>
      </c>
    </row>
    <row r="14">
      <c r="A14" s="4" t="n">
        <v>46147.1153587963</v>
      </c>
      <c r="B14" t="inlineStr">
        <is>
          <t>TRXUSDC</t>
        </is>
      </c>
      <c r="C14" t="inlineStr">
        <is>
          <t>SELL</t>
        </is>
      </c>
      <c r="D14" t="n">
        <v>0.3403</v>
      </c>
      <c r="E14" t="n">
        <v>15.4</v>
      </c>
      <c r="F14" t="n">
        <v>5.2406</v>
      </c>
      <c r="G14" t="n">
        <v>5.95e-06</v>
      </c>
      <c r="H14" t="n">
        <v>0.337804</v>
      </c>
      <c r="I14" t="n">
        <v>3.9</v>
      </c>
      <c r="J14" t="n">
        <v>0.0384</v>
      </c>
      <c r="K14" t="n">
        <v>0.0591</v>
      </c>
      <c r="L14">
        <f>IF(C14="BUY",L13+F14,L13-N13*E14)</f>
        <v/>
      </c>
      <c r="M14">
        <f>IF(C14="BUY",M13+E14,M13-E14)</f>
        <v/>
      </c>
      <c r="N14">
        <f>IF(M14&gt;0,L14/M14,0)</f>
        <v/>
      </c>
      <c r="O14">
        <f>IF(C14="SELL",F14-N13*E14,0)</f>
        <v/>
      </c>
      <c r="P14">
        <f>P13+IF(C14="SELL",O14,0)</f>
        <v/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 Přikryl</dc:creator>
  <dcterms:created xsi:type="dcterms:W3CDTF">2026-05-10T09:53:05Z</dcterms:created>
  <dcterms:modified xsi:type="dcterms:W3CDTF">2026-05-11T07:37:42Z</dcterms:modified>
  <cp:lastModifiedBy>Jan Přikryl</cp:lastModifiedBy>
</cp:coreProperties>
</file>