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name="Lis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22" fontId="0" fillId="0" borderId="4" pivotButton="0" quotePrefix="0" xfId="0"/>
    <xf numFmtId="22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tabSelected="1" workbookViewId="0">
      <selection activeCell="O5" sqref="O5"/>
    </sheetView>
  </sheetViews>
  <sheetFormatPr baseColWidth="8" defaultRowHeight="14.4"/>
  <cols>
    <col width="18.6640625" customWidth="1" style="5" min="1" max="1"/>
    <col width="10.44140625" customWidth="1" style="5" min="2" max="2"/>
    <col width="12.88671875" customWidth="1" style="5" min="7" max="7"/>
    <col width="10.44140625" customWidth="1" style="5" min="8" max="8"/>
  </cols>
  <sheetData>
    <row r="1">
      <c r="A1" s="1" t="inlineStr">
        <is>
          <t>Datum (UTC)</t>
        </is>
      </c>
      <c r="B1" s="2" t="inlineStr">
        <is>
          <t>Symbol</t>
        </is>
      </c>
      <c r="C1" s="2" t="inlineStr">
        <is>
          <t>Směr</t>
        </is>
      </c>
      <c r="D1" s="2" t="inlineStr">
        <is>
          <t>Cena</t>
        </is>
      </c>
      <c r="E1" s="2" t="inlineStr">
        <is>
          <t>Qty</t>
        </is>
      </c>
      <c r="F1" s="2" t="inlineStr">
        <is>
          <t>Notional</t>
        </is>
      </c>
      <c r="G1" s="2" t="inlineStr">
        <is>
          <t>Fee (BNB)</t>
        </is>
      </c>
      <c r="H1" s="2" t="inlineStr">
        <is>
          <t xml:space="preserve">AvgCost </t>
        </is>
      </c>
      <c r="I1" s="2" t="inlineStr">
        <is>
          <t>QtyPo</t>
        </is>
      </c>
      <c r="J1" s="2" t="inlineStr">
        <is>
          <t>TradePnL</t>
        </is>
      </c>
      <c r="K1" s="3" t="inlineStr">
        <is>
          <t>KumPnL</t>
        </is>
      </c>
      <c r="L1" s="11" t="inlineStr">
        <is>
          <t>TotalCost_calc</t>
        </is>
      </c>
      <c r="M1" s="11" t="inlineStr">
        <is>
          <t>Qty_calc</t>
        </is>
      </c>
      <c r="N1" s="11" t="inlineStr">
        <is>
          <t>AvgCost_calc</t>
        </is>
      </c>
      <c r="O1" s="11" t="inlineStr">
        <is>
          <t>TradePnL_calc</t>
        </is>
      </c>
      <c r="P1" s="11" t="inlineStr">
        <is>
          <t>KumPnL_calc</t>
        </is>
      </c>
    </row>
    <row r="2"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4" t="n"/>
      <c r="K3" s="6" t="n"/>
    </row>
    <row r="4">
      <c r="A4" s="7" t="n">
        <v>46138.87864583333</v>
      </c>
      <c r="B4" t="inlineStr">
        <is>
          <t>SHIBUSDC</t>
        </is>
      </c>
      <c r="C4" t="inlineStr">
        <is>
          <t>BUY</t>
        </is>
      </c>
      <c r="D4" t="n">
        <v>6e-06</v>
      </c>
      <c r="E4" t="n">
        <v>330879</v>
      </c>
      <c r="F4" t="n">
        <v>2.0581</v>
      </c>
      <c r="G4" t="n">
        <v>2.35e-06</v>
      </c>
      <c r="H4" t="n">
        <v>6e-06</v>
      </c>
      <c r="I4" t="n">
        <v>330879</v>
      </c>
      <c r="K4" s="6" t="n"/>
      <c r="L4">
        <f>IF(C4="BUY",L2+F4,L2-N2*E4)</f>
        <v/>
      </c>
      <c r="M4">
        <f>IF(C4="BUY",M2+E4,M2-E4)</f>
        <v/>
      </c>
      <c r="N4">
        <f>IF(M4&gt;0,L4/M4,0)</f>
        <v/>
      </c>
      <c r="O4">
        <f>IF(C4="SELL",F4-N2*E4,0)</f>
        <v/>
      </c>
      <c r="P4">
        <f>P2+IF(C4="SELL",O4,0)</f>
        <v/>
      </c>
    </row>
    <row r="5">
      <c r="A5" s="7" t="n">
        <v>46139.94907407407</v>
      </c>
      <c r="B5" t="inlineStr">
        <is>
          <t>SHIBUSDC</t>
        </is>
      </c>
      <c r="C5" t="inlineStr">
        <is>
          <t>BUY</t>
        </is>
      </c>
      <c r="D5" t="n">
        <v>6e-06</v>
      </c>
      <c r="E5" t="n">
        <v>421237</v>
      </c>
      <c r="F5" t="n">
        <v>2.578</v>
      </c>
      <c r="G5" t="n">
        <v>3e-06</v>
      </c>
      <c r="H5" t="n">
        <v>6e-06</v>
      </c>
      <c r="I5" t="n">
        <v>752116</v>
      </c>
      <c r="K5" s="6" t="n"/>
      <c r="L5">
        <f>IF(C5="BUY",L4+F5,L4-N4*E5)</f>
        <v/>
      </c>
      <c r="M5">
        <f>IF(C5="BUY",M4+E5,M4-E5)</f>
        <v/>
      </c>
      <c r="N5">
        <f>IF(M5&gt;0,L5/M5,0)</f>
        <v/>
      </c>
      <c r="O5">
        <f>IF(C5="SELL",F5-N4*E5,0)</f>
        <v/>
      </c>
      <c r="P5">
        <f>P4+IF(C5="SELL",O5,0)</f>
        <v/>
      </c>
    </row>
    <row r="6">
      <c r="A6" s="7" t="n">
        <v>46140.80560185185</v>
      </c>
      <c r="B6" t="inlineStr">
        <is>
          <t>SHIBUSDC</t>
        </is>
      </c>
      <c r="C6" t="inlineStr">
        <is>
          <t>BUY</t>
        </is>
      </c>
      <c r="D6" t="n">
        <v>6e-06</v>
      </c>
      <c r="E6" t="n">
        <v>230373</v>
      </c>
      <c r="F6" t="n">
        <v>1.4122</v>
      </c>
      <c r="G6" t="n">
        <v>1.63e-06</v>
      </c>
      <c r="H6" t="n">
        <v>6e-06</v>
      </c>
      <c r="I6" t="n">
        <v>982489</v>
      </c>
      <c r="K6" s="6" t="n"/>
      <c r="L6">
        <f>IF(C6="BUY",L5+F6,L5-N5*E6)</f>
        <v/>
      </c>
      <c r="M6">
        <f>IF(C6="BUY",M5+E6,M5-E6)</f>
        <v/>
      </c>
      <c r="N6">
        <f>IF(M6&gt;0,L6/M6,0)</f>
        <v/>
      </c>
      <c r="O6">
        <f>IF(C6="SELL",F6-N5*E6,0)</f>
        <v/>
      </c>
      <c r="P6">
        <f>P5+IF(C6="SELL",O6,0)</f>
        <v/>
      </c>
    </row>
    <row r="7">
      <c r="A7" s="7" t="n">
        <v>46140.81349537037</v>
      </c>
      <c r="B7" t="inlineStr">
        <is>
          <t>SHIBUSDC</t>
        </is>
      </c>
      <c r="C7" t="inlineStr">
        <is>
          <t>BUY</t>
        </is>
      </c>
      <c r="D7" t="n">
        <v>6e-06</v>
      </c>
      <c r="E7" t="n">
        <v>216533</v>
      </c>
      <c r="F7" t="n">
        <v>1.3273</v>
      </c>
      <c r="G7" t="n">
        <v>1.53e-06</v>
      </c>
      <c r="H7" t="n">
        <v>6e-06</v>
      </c>
      <c r="I7" t="n">
        <v>1199022</v>
      </c>
      <c r="K7" s="6" t="n"/>
      <c r="L7">
        <f>IF(C7="BUY",L6+F7,L6-N6*E7)</f>
        <v/>
      </c>
      <c r="M7">
        <f>IF(C7="BUY",M6+E7,M6-E7)</f>
        <v/>
      </c>
      <c r="N7">
        <f>IF(M7&gt;0,L7/M7,0)</f>
        <v/>
      </c>
      <c r="O7">
        <f>IF(C7="SELL",F7-N6*E7,0)</f>
        <v/>
      </c>
      <c r="P7">
        <f>P6+IF(C7="SELL",O7,0)</f>
        <v/>
      </c>
    </row>
    <row r="8">
      <c r="A8" s="7" t="n">
        <v>46140.82398148148</v>
      </c>
      <c r="B8" t="inlineStr">
        <is>
          <t>SHIBUSDC</t>
        </is>
      </c>
      <c r="C8" t="inlineStr">
        <is>
          <t>BUY</t>
        </is>
      </c>
      <c r="D8" t="n">
        <v>6e-06</v>
      </c>
      <c r="E8" t="n">
        <v>203209</v>
      </c>
      <c r="F8" t="n">
        <v>1.2497</v>
      </c>
      <c r="G8" t="n">
        <v>1.44e-06</v>
      </c>
      <c r="H8" t="n">
        <v>6e-06</v>
      </c>
      <c r="I8" t="n">
        <v>1402231</v>
      </c>
      <c r="K8" s="6" t="n"/>
      <c r="L8">
        <f>IF(C8="BUY",L7+F8,L7-N7*E8)</f>
        <v/>
      </c>
      <c r="M8">
        <f>IF(C8="BUY",M7+E8,M7-E8)</f>
        <v/>
      </c>
      <c r="N8">
        <f>IF(M8&gt;0,L8/M8,0)</f>
        <v/>
      </c>
      <c r="O8">
        <f>IF(C8="SELL",F8-N7*E8,0)</f>
        <v/>
      </c>
      <c r="P8">
        <f>P7+IF(C8="SELL",O8,0)</f>
        <v/>
      </c>
    </row>
    <row r="9">
      <c r="A9" s="7" t="n">
        <v>46140.83447916667</v>
      </c>
      <c r="B9" t="inlineStr">
        <is>
          <t>SHIBUSDC</t>
        </is>
      </c>
      <c r="C9" t="inlineStr">
        <is>
          <t>BUY</t>
        </is>
      </c>
      <c r="D9" t="n">
        <v>6e-06</v>
      </c>
      <c r="E9" t="n">
        <v>190991</v>
      </c>
      <c r="F9" t="n">
        <v>1.1746</v>
      </c>
      <c r="G9" t="n">
        <v>1.35e-06</v>
      </c>
      <c r="H9" t="n">
        <v>6e-06</v>
      </c>
      <c r="I9" t="n">
        <v>1593222</v>
      </c>
      <c r="K9" s="6" t="n"/>
      <c r="L9">
        <f>IF(C9="BUY",L8+F9,L8-N8*E9)</f>
        <v/>
      </c>
      <c r="M9">
        <f>IF(C9="BUY",M8+E9,M8-E9)</f>
        <v/>
      </c>
      <c r="N9">
        <f>IF(M9&gt;0,L9/M9,0)</f>
        <v/>
      </c>
      <c r="O9">
        <f>IF(C9="SELL",F9-N8*E9,0)</f>
        <v/>
      </c>
      <c r="P9">
        <f>P8+IF(C9="SELL",O9,0)</f>
        <v/>
      </c>
    </row>
    <row r="10">
      <c r="A10" s="7" t="n">
        <v>46140.8449537037</v>
      </c>
      <c r="B10" t="inlineStr">
        <is>
          <t>SHIBUSDC</t>
        </is>
      </c>
      <c r="C10" t="inlineStr">
        <is>
          <t>BUY</t>
        </is>
      </c>
      <c r="D10" t="n">
        <v>6e-06</v>
      </c>
      <c r="E10" t="n">
        <v>179230</v>
      </c>
      <c r="F10" t="n">
        <v>1.1023</v>
      </c>
      <c r="G10" t="n">
        <v>1.27e-06</v>
      </c>
      <c r="H10" t="n">
        <v>6e-06</v>
      </c>
      <c r="I10" t="n">
        <v>1772452</v>
      </c>
      <c r="K10" s="6" t="n"/>
      <c r="L10">
        <f>IF(C10="BUY",L9+F10,L9-N9*E10)</f>
        <v/>
      </c>
      <c r="M10">
        <f>IF(C10="BUY",M9+E10,M9-E10)</f>
        <v/>
      </c>
      <c r="N10">
        <f>IF(M10&gt;0,L10/M10,0)</f>
        <v/>
      </c>
      <c r="O10">
        <f>IF(C10="SELL",F10-N9*E10,0)</f>
        <v/>
      </c>
      <c r="P10">
        <f>P9+IF(C10="SELL",O10,0)</f>
        <v/>
      </c>
    </row>
    <row r="11">
      <c r="A11" s="7" t="n">
        <v>46140.85543981481</v>
      </c>
      <c r="B11" t="inlineStr">
        <is>
          <t>SHIBUSDC</t>
        </is>
      </c>
      <c r="C11" t="inlineStr">
        <is>
          <t>BUY</t>
        </is>
      </c>
      <c r="D11" t="n">
        <v>6e-06</v>
      </c>
      <c r="E11" t="n">
        <v>163955</v>
      </c>
      <c r="F11" t="n">
        <v>1.0067</v>
      </c>
      <c r="G11" t="n">
        <v>1.16e-06</v>
      </c>
      <c r="H11" t="n">
        <v>6e-06</v>
      </c>
      <c r="I11" t="n">
        <v>1936407</v>
      </c>
      <c r="K11" s="6" t="n"/>
      <c r="L11">
        <f>IF(C11="BUY",L10+F11,L10-N10*E11)</f>
        <v/>
      </c>
      <c r="M11">
        <f>IF(C11="BUY",M10+E11,M10-E11)</f>
        <v/>
      </c>
      <c r="N11">
        <f>IF(M11&gt;0,L11/M11,0)</f>
        <v/>
      </c>
      <c r="O11">
        <f>IF(C11="SELL",F11-N10*E11,0)</f>
        <v/>
      </c>
      <c r="P11">
        <f>P10+IF(C11="SELL",O11,0)</f>
        <v/>
      </c>
    </row>
    <row r="12">
      <c r="A12" s="7" t="n">
        <v>46141.01232638889</v>
      </c>
      <c r="B12" t="inlineStr">
        <is>
          <t>SHIBUSDC</t>
        </is>
      </c>
      <c r="C12" t="inlineStr">
        <is>
          <t>BUY</t>
        </is>
      </c>
      <c r="D12" t="n">
        <v>6e-06</v>
      </c>
      <c r="E12" t="n">
        <v>318058</v>
      </c>
      <c r="F12" t="n">
        <v>1.9529</v>
      </c>
      <c r="G12" t="n">
        <v>2.26e-06</v>
      </c>
      <c r="H12" t="n">
        <v>6e-06</v>
      </c>
      <c r="I12" t="n">
        <v>2254465</v>
      </c>
      <c r="K12" s="6" t="n"/>
      <c r="L12">
        <f>IF(C12="BUY",L11+F12,L11-N11*E12)</f>
        <v/>
      </c>
      <c r="M12">
        <f>IF(C12="BUY",M11+E12,M11-E12)</f>
        <v/>
      </c>
      <c r="N12">
        <f>IF(M12&gt;0,L12/M12,0)</f>
        <v/>
      </c>
      <c r="O12">
        <f>IF(C12="SELL",F12-N11*E12,0)</f>
        <v/>
      </c>
      <c r="P12">
        <f>P11+IF(C12="SELL",O12,0)</f>
        <v/>
      </c>
    </row>
    <row r="13">
      <c r="A13" s="7" t="n">
        <v>46141.02280092592</v>
      </c>
      <c r="B13" t="inlineStr">
        <is>
          <t>SHIBUSDC</t>
        </is>
      </c>
      <c r="C13" t="inlineStr">
        <is>
          <t>BUY</t>
        </is>
      </c>
      <c r="D13" t="n">
        <v>6e-06</v>
      </c>
      <c r="E13" t="n">
        <v>298456</v>
      </c>
      <c r="F13" t="n">
        <v>1.8325</v>
      </c>
      <c r="G13" t="n">
        <v>2.12e-06</v>
      </c>
      <c r="H13" t="n">
        <v>6e-06</v>
      </c>
      <c r="I13" t="n">
        <v>2552921</v>
      </c>
      <c r="K13" s="6" t="n"/>
      <c r="L13">
        <f>IF(C13="BUY",L12+F13,L12-N12*E13)</f>
        <v/>
      </c>
      <c r="M13">
        <f>IF(C13="BUY",M12+E13,M12-E13)</f>
        <v/>
      </c>
      <c r="N13">
        <f>IF(M13&gt;0,L13/M13,0)</f>
        <v/>
      </c>
      <c r="O13">
        <f>IF(C13="SELL",F13-N12*E13,0)</f>
        <v/>
      </c>
      <c r="P13">
        <f>P12+IF(C13="SELL",O13,0)</f>
        <v/>
      </c>
    </row>
    <row r="14">
      <c r="A14" s="7" t="n">
        <v>46141.03327546296</v>
      </c>
      <c r="B14" t="inlineStr">
        <is>
          <t>SHIBUSDC</t>
        </is>
      </c>
      <c r="C14" t="inlineStr">
        <is>
          <t>BUY</t>
        </is>
      </c>
      <c r="D14" t="n">
        <v>6e-06</v>
      </c>
      <c r="E14" t="n">
        <v>262642</v>
      </c>
      <c r="F14" t="n">
        <v>1.6152</v>
      </c>
      <c r="G14" t="n">
        <v>1.86e-06</v>
      </c>
      <c r="H14" t="n">
        <v>6e-06</v>
      </c>
      <c r="I14" t="n">
        <v>2815563</v>
      </c>
      <c r="K14" s="6" t="n"/>
      <c r="L14">
        <f>IF(C14="BUY",L13+F14,L13-N13*E14)</f>
        <v/>
      </c>
      <c r="M14">
        <f>IF(C14="BUY",M13+E14,M13-E14)</f>
        <v/>
      </c>
      <c r="N14">
        <f>IF(M14&gt;0,L14/M14,0)</f>
        <v/>
      </c>
      <c r="O14">
        <f>IF(C14="SELL",F14-N13*E14,0)</f>
        <v/>
      </c>
      <c r="P14">
        <f>P13+IF(C14="SELL",O14,0)</f>
        <v/>
      </c>
    </row>
    <row r="15">
      <c r="A15" s="7" t="n">
        <v>46141.04375</v>
      </c>
      <c r="B15" t="inlineStr">
        <is>
          <t>SHIBUSDC</t>
        </is>
      </c>
      <c r="C15" t="inlineStr">
        <is>
          <t>BUY</t>
        </is>
      </c>
      <c r="D15" t="n">
        <v>6e-06</v>
      </c>
      <c r="E15" t="n">
        <v>230683</v>
      </c>
      <c r="F15" t="n">
        <v>1.4187</v>
      </c>
      <c r="G15" t="n">
        <v>1.64e-06</v>
      </c>
      <c r="H15" t="n">
        <v>6e-06</v>
      </c>
      <c r="I15" t="n">
        <v>3046246</v>
      </c>
      <c r="K15" s="6" t="n"/>
      <c r="L15">
        <f>IF(C15="BUY",L14+F15,L14-N14*E15)</f>
        <v/>
      </c>
      <c r="M15">
        <f>IF(C15="BUY",M14+E15,M14-E15)</f>
        <v/>
      </c>
      <c r="N15">
        <f>IF(M15&gt;0,L15/M15,0)</f>
        <v/>
      </c>
      <c r="O15">
        <f>IF(C15="SELL",F15-N14*E15,0)</f>
        <v/>
      </c>
      <c r="P15">
        <f>P14+IF(C15="SELL",O15,0)</f>
        <v/>
      </c>
    </row>
    <row r="16">
      <c r="A16" s="7" t="n">
        <v>46141.05422453704</v>
      </c>
      <c r="B16" t="inlineStr">
        <is>
          <t>SHIBUSDC</t>
        </is>
      </c>
      <c r="C16" t="inlineStr">
        <is>
          <t>BUY</t>
        </is>
      </c>
      <c r="D16" t="n">
        <v>6e-06</v>
      </c>
      <c r="E16" t="n">
        <v>1</v>
      </c>
      <c r="F16" t="n">
        <v>0</v>
      </c>
      <c r="G16" t="n">
        <v>1e-08</v>
      </c>
      <c r="H16" t="n">
        <v>6e-06</v>
      </c>
      <c r="I16" t="n">
        <v>3046247</v>
      </c>
      <c r="K16" s="6" t="n"/>
      <c r="L16">
        <f>IF(C16="BUY",L15+F16,L15-N15*E16)</f>
        <v/>
      </c>
      <c r="M16">
        <f>IF(C16="BUY",M15+E16,M15-E16)</f>
        <v/>
      </c>
      <c r="N16">
        <f>IF(M16&gt;0,L16/M16,0)</f>
        <v/>
      </c>
      <c r="O16">
        <f>IF(C16="SELL",F16-N15*E16,0)</f>
        <v/>
      </c>
      <c r="P16">
        <f>P15+IF(C16="SELL",O16,0)</f>
        <v/>
      </c>
    </row>
    <row r="17">
      <c r="A17" s="7" t="n">
        <v>46141.05422453704</v>
      </c>
      <c r="B17" t="inlineStr">
        <is>
          <t>SHIBUSDC</t>
        </is>
      </c>
      <c r="C17" t="inlineStr">
        <is>
          <t>BUY</t>
        </is>
      </c>
      <c r="D17" t="n">
        <v>6e-06</v>
      </c>
      <c r="E17" t="n">
        <v>203330</v>
      </c>
      <c r="F17" t="n">
        <v>1.2484</v>
      </c>
      <c r="G17" t="n">
        <v>1.44e-06</v>
      </c>
      <c r="H17" t="n">
        <v>6e-06</v>
      </c>
      <c r="I17" t="n">
        <v>3249577</v>
      </c>
      <c r="K17" s="6" t="n"/>
      <c r="L17">
        <f>IF(C17="BUY",L16+F17,L16-N16*E17)</f>
        <v/>
      </c>
      <c r="M17">
        <f>IF(C17="BUY",M16+E17,M16-E17)</f>
        <v/>
      </c>
      <c r="N17">
        <f>IF(M17&gt;0,L17/M17,0)</f>
        <v/>
      </c>
      <c r="O17">
        <f>IF(C17="SELL",F17-N16*E17,0)</f>
        <v/>
      </c>
      <c r="P17">
        <f>P16+IF(C17="SELL",O17,0)</f>
        <v/>
      </c>
    </row>
    <row r="18">
      <c r="A18" s="7" t="n">
        <v>46141.06469907407</v>
      </c>
      <c r="B18" t="inlineStr">
        <is>
          <t>SHIBUSDC</t>
        </is>
      </c>
      <c r="C18" t="inlineStr">
        <is>
          <t>BUY</t>
        </is>
      </c>
      <c r="D18" t="n">
        <v>6e-06</v>
      </c>
      <c r="E18" t="n">
        <v>191132</v>
      </c>
      <c r="F18" t="n">
        <v>1.1736</v>
      </c>
      <c r="G18" t="n">
        <v>1.35e-06</v>
      </c>
      <c r="H18" t="n">
        <v>6e-06</v>
      </c>
      <c r="I18" t="n">
        <v>3440709</v>
      </c>
      <c r="K18" s="6" t="n"/>
      <c r="L18">
        <f>IF(C18="BUY",L17+F18,L17-N17*E18)</f>
        <v/>
      </c>
      <c r="M18">
        <f>IF(C18="BUY",M17+E18,M17-E18)</f>
        <v/>
      </c>
      <c r="N18">
        <f>IF(M18&gt;0,L18/M18,0)</f>
        <v/>
      </c>
      <c r="O18">
        <f>IF(C18="SELL",F18-N17*E18,0)</f>
        <v/>
      </c>
      <c r="P18">
        <f>P17+IF(C18="SELL",O18,0)</f>
        <v/>
      </c>
    </row>
    <row r="19">
      <c r="A19" s="7" t="n">
        <v>46141.07518518518</v>
      </c>
      <c r="B19" t="inlineStr">
        <is>
          <t>SHIBUSDC</t>
        </is>
      </c>
      <c r="C19" t="inlineStr">
        <is>
          <t>BUY</t>
        </is>
      </c>
      <c r="D19" t="n">
        <v>6e-06</v>
      </c>
      <c r="E19" t="n">
        <v>168856</v>
      </c>
      <c r="F19" t="n">
        <v>1.0402</v>
      </c>
      <c r="G19" t="n">
        <v>1.2e-06</v>
      </c>
      <c r="H19" t="n">
        <v>6e-06</v>
      </c>
      <c r="I19" t="n">
        <v>3609565</v>
      </c>
      <c r="K19" s="6" t="n"/>
      <c r="L19">
        <f>IF(C19="BUY",L18+F19,L18-N18*E19)</f>
        <v/>
      </c>
      <c r="M19">
        <f>IF(C19="BUY",M18+E19,M18-E19)</f>
        <v/>
      </c>
      <c r="N19">
        <f>IF(M19&gt;0,L19/M19,0)</f>
        <v/>
      </c>
      <c r="O19">
        <f>IF(C19="SELL",F19-N18*E19,0)</f>
        <v/>
      </c>
      <c r="P19">
        <f>P18+IF(C19="SELL",O19,0)</f>
        <v/>
      </c>
    </row>
    <row r="20">
      <c r="A20" s="7" t="n">
        <v>46142.01944444444</v>
      </c>
      <c r="B20" t="inlineStr">
        <is>
          <t>SHIBUSDC</t>
        </is>
      </c>
      <c r="C20" t="inlineStr">
        <is>
          <t>BUY</t>
        </is>
      </c>
      <c r="D20" t="n">
        <v>6e-06</v>
      </c>
      <c r="E20" t="n">
        <v>236115</v>
      </c>
      <c r="F20" t="n">
        <v>1.4639</v>
      </c>
      <c r="G20" t="n">
        <v>1.68e-06</v>
      </c>
      <c r="H20" t="n">
        <v>6e-06</v>
      </c>
      <c r="I20" t="n">
        <v>3845680</v>
      </c>
      <c r="K20" s="6" t="n"/>
      <c r="L20">
        <f>IF(C20="BUY",L19+F20,L19-N19*E20)</f>
        <v/>
      </c>
      <c r="M20">
        <f>IF(C20="BUY",M19+E20,M19-E20)</f>
        <v/>
      </c>
      <c r="N20">
        <f>IF(M20&gt;0,L20/M20,0)</f>
        <v/>
      </c>
      <c r="O20">
        <f>IF(C20="SELL",F20-N19*E20,0)</f>
        <v/>
      </c>
      <c r="P20">
        <f>P19+IF(C20="SELL",O20,0)</f>
        <v/>
      </c>
    </row>
    <row r="21">
      <c r="A21" s="7" t="n">
        <v>46142.02994212963</v>
      </c>
      <c r="B21" t="inlineStr">
        <is>
          <t>SHIBUSDC</t>
        </is>
      </c>
      <c r="C21" t="inlineStr">
        <is>
          <t>BUY</t>
        </is>
      </c>
      <c r="D21" t="n">
        <v>6e-06</v>
      </c>
      <c r="E21" t="n">
        <v>213451</v>
      </c>
      <c r="F21" t="n">
        <v>1.3298</v>
      </c>
      <c r="G21" t="n">
        <v>1.51e-06</v>
      </c>
      <c r="H21" t="n">
        <v>6e-06</v>
      </c>
      <c r="I21" t="n">
        <v>4059131</v>
      </c>
      <c r="K21" s="6" t="n"/>
      <c r="L21">
        <f>IF(C21="BUY",L20+F21,L20-N20*E21)</f>
        <v/>
      </c>
      <c r="M21">
        <f>IF(C21="BUY",M20+E21,M20-E21)</f>
        <v/>
      </c>
      <c r="N21">
        <f>IF(M21&gt;0,L21/M21,0)</f>
        <v/>
      </c>
      <c r="O21">
        <f>IF(C21="SELL",F21-N20*E21,0)</f>
        <v/>
      </c>
      <c r="P21">
        <f>P20+IF(C21="SELL",O21,0)</f>
        <v/>
      </c>
    </row>
    <row r="22">
      <c r="A22" s="7" t="n">
        <v>46142.04043981482</v>
      </c>
      <c r="B22" t="inlineStr">
        <is>
          <t>SHIBUSDC</t>
        </is>
      </c>
      <c r="C22" t="inlineStr">
        <is>
          <t>BUY</t>
        </is>
      </c>
      <c r="D22" t="n">
        <v>6e-06</v>
      </c>
      <c r="E22" t="n">
        <v>174142</v>
      </c>
      <c r="F22" t="n">
        <v>1.0919</v>
      </c>
      <c r="G22" t="n">
        <v>1.23e-06</v>
      </c>
      <c r="H22" t="n">
        <v>6e-06</v>
      </c>
      <c r="I22" t="n">
        <v>4233273</v>
      </c>
      <c r="K22" s="6" t="n"/>
      <c r="L22">
        <f>IF(C22="BUY",L21+F22,L21-N21*E22)</f>
        <v/>
      </c>
      <c r="M22">
        <f>IF(C22="BUY",M21+E22,M21-E22)</f>
        <v/>
      </c>
      <c r="N22">
        <f>IF(M22&gt;0,L22/M22,0)</f>
        <v/>
      </c>
      <c r="O22">
        <f>IF(C22="SELL",F22-N21*E22,0)</f>
        <v/>
      </c>
      <c r="P22">
        <f>P21+IF(C22="SELL",O22,0)</f>
        <v/>
      </c>
    </row>
    <row r="23">
      <c r="A23" s="7" t="n">
        <v>46146.85379629629</v>
      </c>
      <c r="B23" t="inlineStr">
        <is>
          <t>SHIBUSDC</t>
        </is>
      </c>
      <c r="C23" t="inlineStr">
        <is>
          <t>SELL</t>
        </is>
      </c>
      <c r="D23" t="n">
        <v>6e-06</v>
      </c>
      <c r="E23" t="n">
        <v>2116636</v>
      </c>
      <c r="F23" t="n">
        <v>13.0808</v>
      </c>
      <c r="G23" t="n">
        <v>1.493e-05</v>
      </c>
      <c r="H23" t="n">
        <v>6e-06</v>
      </c>
      <c r="I23" t="n">
        <v>2116637</v>
      </c>
      <c r="J23" t="n">
        <v>0.0428</v>
      </c>
      <c r="K23" s="6" t="n">
        <v>0.0428</v>
      </c>
      <c r="L23">
        <f>IF(C23="BUY",L22+F23,L22-N22*E23)</f>
        <v/>
      </c>
      <c r="M23">
        <f>IF(C23="BUY",M22+E23,M22-E23)</f>
        <v/>
      </c>
      <c r="N23">
        <f>IF(M23&gt;0,L23/M23,0)</f>
        <v/>
      </c>
      <c r="O23">
        <f>IF(C23="SELL",F23-N22*E23,0)</f>
        <v/>
      </c>
      <c r="P23">
        <f>P22+IF(C23="SELL",O23,0)</f>
        <v/>
      </c>
    </row>
    <row r="24">
      <c r="A24" s="7" t="n">
        <v>46146.85388888889</v>
      </c>
      <c r="B24" t="inlineStr">
        <is>
          <t>SHIBUSDC</t>
        </is>
      </c>
      <c r="C24" t="inlineStr">
        <is>
          <t>SELL</t>
        </is>
      </c>
      <c r="D24" t="n">
        <v>6e-06</v>
      </c>
      <c r="E24" t="n">
        <v>1693309</v>
      </c>
      <c r="F24" t="n">
        <v>10.4646</v>
      </c>
      <c r="G24" t="n">
        <v>1.194e-05</v>
      </c>
      <c r="H24" t="n">
        <v>6e-06</v>
      </c>
      <c r="I24" t="n">
        <v>423328</v>
      </c>
      <c r="J24" t="n">
        <v>0.0343</v>
      </c>
      <c r="K24" s="6" t="n">
        <v>0.0771</v>
      </c>
      <c r="L24">
        <f>IF(C24="BUY",L23+F24,L23-N23*E24)</f>
        <v/>
      </c>
      <c r="M24">
        <f>IF(C24="BUY",M23+E24,M23-E24)</f>
        <v/>
      </c>
      <c r="N24">
        <f>IF(M24&gt;0,L24/M24,0)</f>
        <v/>
      </c>
      <c r="O24">
        <f>IF(C24="SELL",F24-N23*E24,0)</f>
        <v/>
      </c>
      <c r="P24">
        <f>P23+IF(C24="SELL",O24,0)</f>
        <v/>
      </c>
    </row>
    <row r="25">
      <c r="A25" s="7" t="n">
        <v>46146.8642824074</v>
      </c>
      <c r="B25" t="inlineStr">
        <is>
          <t>SHIBUSDC</t>
        </is>
      </c>
      <c r="C25" t="inlineStr">
        <is>
          <t>SELL</t>
        </is>
      </c>
      <c r="D25" t="n">
        <v>6e-06</v>
      </c>
      <c r="E25" t="n">
        <v>211664</v>
      </c>
      <c r="F25" t="n">
        <v>1.3081</v>
      </c>
      <c r="G25" t="n">
        <v>1.49e-06</v>
      </c>
      <c r="H25" t="n">
        <v>6e-06</v>
      </c>
      <c r="I25" t="n">
        <v>211664</v>
      </c>
      <c r="J25" t="n">
        <v>0.0043</v>
      </c>
      <c r="K25" s="6" t="n">
        <v>0.0814</v>
      </c>
      <c r="L25">
        <f>IF(C25="BUY",L24+F25,L24-N24*E25)</f>
        <v/>
      </c>
      <c r="M25">
        <f>IF(C25="BUY",M24+E25,M24-E25)</f>
        <v/>
      </c>
      <c r="N25">
        <f>IF(M25&gt;0,L25/M25,0)</f>
        <v/>
      </c>
      <c r="O25">
        <f>IF(C25="SELL",F25-N24*E25,0)</f>
        <v/>
      </c>
      <c r="P25">
        <f>P24+IF(C25="SELL",O25,0)</f>
        <v/>
      </c>
    </row>
    <row r="26">
      <c r="A26" s="7" t="n">
        <v>46146.86435185185</v>
      </c>
      <c r="B26" t="inlineStr">
        <is>
          <t>SHIBUSDC</t>
        </is>
      </c>
      <c r="C26" t="inlineStr">
        <is>
          <t>SELL</t>
        </is>
      </c>
      <c r="D26" t="n">
        <v>6e-06</v>
      </c>
      <c r="E26" t="n">
        <v>169331</v>
      </c>
      <c r="F26" t="n">
        <v>1.0465</v>
      </c>
      <c r="G26" t="n">
        <v>1.19e-06</v>
      </c>
      <c r="H26" t="n">
        <v>6e-06</v>
      </c>
      <c r="I26" t="n">
        <v>42333</v>
      </c>
      <c r="J26" t="n">
        <v>0.0034</v>
      </c>
      <c r="K26" s="6" t="n">
        <v>0.0848</v>
      </c>
      <c r="L26">
        <f>IF(C26="BUY",L25+F26,L25-N25*E26)</f>
        <v/>
      </c>
      <c r="M26">
        <f>IF(C26="BUY",M25+E26,M25-E26)</f>
        <v/>
      </c>
      <c r="N26">
        <f>IF(M26&gt;0,L26/M26,0)</f>
        <v/>
      </c>
      <c r="O26">
        <f>IF(C26="SELL",F26-N25*E26,0)</f>
        <v/>
      </c>
      <c r="P26">
        <f>P25+IF(C26="SELL",O26,0)</f>
        <v/>
      </c>
    </row>
    <row r="27">
      <c r="A27" s="7" t="n">
        <v>46146.90619212963</v>
      </c>
      <c r="B27" t="inlineStr">
        <is>
          <t>SHIBUSDC</t>
        </is>
      </c>
      <c r="C27" t="inlineStr">
        <is>
          <t>BUY</t>
        </is>
      </c>
      <c r="D27" t="n">
        <v>6e-06</v>
      </c>
      <c r="E27" t="n">
        <v>604820</v>
      </c>
      <c r="F27" t="n">
        <v>3.7559</v>
      </c>
      <c r="G27" t="n">
        <v>4.3e-06</v>
      </c>
      <c r="H27" t="n">
        <v>6e-06</v>
      </c>
      <c r="I27" t="n">
        <v>647153</v>
      </c>
      <c r="K27" s="6" t="n"/>
      <c r="L27">
        <f>IF(C27="BUY",L26+F27,L26-N26*E27)</f>
        <v/>
      </c>
      <c r="M27">
        <f>IF(C27="BUY",M26+E27,M26-E27)</f>
        <v/>
      </c>
      <c r="N27">
        <f>IF(M27&gt;0,L27/M27,0)</f>
        <v/>
      </c>
      <c r="O27">
        <f>IF(C27="SELL",F27-N26*E27,0)</f>
        <v/>
      </c>
      <c r="P27">
        <f>P26+IF(C27="SELL",O27,0)</f>
        <v/>
      </c>
    </row>
    <row r="28" ht="15" customHeight="1" s="5" thickBot="1">
      <c r="A28" s="7" t="n">
        <v>46146.91668981482</v>
      </c>
      <c r="B28" t="inlineStr">
        <is>
          <t>SHIBUSDC</t>
        </is>
      </c>
      <c r="C28" t="inlineStr">
        <is>
          <t>SELL</t>
        </is>
      </c>
      <c r="D28" t="n">
        <v>6e-06</v>
      </c>
      <c r="E28" t="n">
        <v>323576</v>
      </c>
      <c r="F28" t="n">
        <v>2.0062</v>
      </c>
      <c r="G28" t="n">
        <v>2.28e-06</v>
      </c>
      <c r="H28" t="n">
        <v>6e-06</v>
      </c>
      <c r="I28" t="n">
        <v>323577</v>
      </c>
      <c r="J28" t="n">
        <v>-0.0022</v>
      </c>
      <c r="K28" s="6" t="n">
        <v>0.0827</v>
      </c>
      <c r="L28">
        <f>IF(C28="BUY",L27+F28,L27-N27*E28)</f>
        <v/>
      </c>
      <c r="M28">
        <f>IF(C28="BUY",M27+E28,M27-E28)</f>
        <v/>
      </c>
      <c r="N28">
        <f>IF(M28&gt;0,L28/M28,0)</f>
        <v/>
      </c>
      <c r="O28">
        <f>IF(C28="SELL",F28-N27*E28,0)</f>
        <v/>
      </c>
      <c r="P28">
        <f>P27+IF(C28="SELL",O28,0)</f>
        <v/>
      </c>
    </row>
    <row r="29">
      <c r="A29" s="8" t="n">
        <v>46146.92716435185</v>
      </c>
      <c r="B29" s="9" t="inlineStr">
        <is>
          <t>SHIBUSDC</t>
        </is>
      </c>
      <c r="C29" s="9" t="inlineStr">
        <is>
          <t>SELL</t>
        </is>
      </c>
      <c r="D29" s="9" t="n">
        <v>6e-06</v>
      </c>
      <c r="E29" s="9" t="n">
        <v>161788</v>
      </c>
      <c r="F29" s="9" t="n">
        <v>1.0047</v>
      </c>
      <c r="G29" s="9" t="n">
        <v>1.14e-06</v>
      </c>
      <c r="H29" s="9" t="n">
        <v>6e-06</v>
      </c>
      <c r="I29" s="9" t="n">
        <v>161789</v>
      </c>
      <c r="J29" s="9" t="n">
        <v>0.0005</v>
      </c>
      <c r="K29" s="10" t="n">
        <v>0.0832</v>
      </c>
      <c r="L29">
        <f>IF(C29="BUY",L28+F29,L28-N28*E29)</f>
        <v/>
      </c>
      <c r="M29">
        <f>IF(C29="BUY",M28+E29,M28-E29)</f>
        <v/>
      </c>
      <c r="N29">
        <f>IF(M29&gt;0,L29/M29,0)</f>
        <v/>
      </c>
      <c r="O29">
        <f>IF(C29="SELL",F29-N28*E29,0)</f>
        <v/>
      </c>
      <c r="P29">
        <f>P28+IF(C29="SELL",O29,0)</f>
        <v/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 Přikryl</dc:creator>
  <dcterms:created xsi:type="dcterms:W3CDTF">2026-05-10T09:52:23Z</dcterms:created>
  <dcterms:modified xsi:type="dcterms:W3CDTF">2026-05-11T07:37:42Z</dcterms:modified>
  <cp:lastModifiedBy>Jan Přikryl</cp:lastModifiedBy>
</cp:coreProperties>
</file>