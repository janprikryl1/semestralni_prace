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CB01A017-71A5-4BB4-A490-0C6736FCF91F}" xr6:coauthVersionLast="47" xr6:coauthVersionMax="47" xr10:uidLastSave="{00000000-0000-0000-0000-000000000000}"/>
  <bookViews>
    <workbookView xWindow="-28920" yWindow="-120" windowWidth="29040" windowHeight="15720" xr2:uid="{17148D33-A99E-4456-AB42-941C4FC8CBEE}"/>
  </bookViews>
  <sheets>
    <sheet name="B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M4" i="1"/>
  <c r="K4" i="1"/>
  <c r="J4" i="1"/>
  <c r="L4" i="1" l="1"/>
  <c r="M5" i="1" s="1"/>
  <c r="N5" i="1" s="1"/>
  <c r="K5" i="1"/>
  <c r="J5" i="1" l="1"/>
  <c r="L5" i="1" s="1"/>
</calcChain>
</file>

<file path=xl/sharedStrings.xml><?xml version="1.0" encoding="utf-8"?>
<sst xmlns="http://schemas.openxmlformats.org/spreadsheetml/2006/main" count="18" uniqueCount="17">
  <si>
    <t>Datum (UTC)</t>
  </si>
  <si>
    <t>Symbol</t>
  </si>
  <si>
    <t>Směr</t>
  </si>
  <si>
    <t>Cena</t>
  </si>
  <si>
    <t>Qty</t>
  </si>
  <si>
    <t>Notional</t>
  </si>
  <si>
    <t>Fee (BNB)</t>
  </si>
  <si>
    <t xml:space="preserve">AvgCost </t>
  </si>
  <si>
    <t>QtyPo</t>
  </si>
  <si>
    <t>BCHUSDC</t>
  </si>
  <si>
    <t>BUY</t>
  </si>
  <si>
    <t>SELL</t>
  </si>
  <si>
    <t>TotalCost_calc</t>
  </si>
  <si>
    <t>Qty_calc</t>
  </si>
  <si>
    <t>AvgCost_calc</t>
  </si>
  <si>
    <t>TradePnL_calc</t>
  </si>
  <si>
    <t>KumPnL_calc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</si>
</sst>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22" fontId="0" fillId="0" borderId="4" xfId="0" applyNumberFormat="1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94A0-A1BE-4FE1-8257-DF261A424A9D}">
  <dimension ref="A1:N5"/>
  <sheetViews>
    <sheetView tabSelected="1" workbookViewId="0">
      <selection activeCell="H12" sqref="H12"/>
    </sheetView>
  </sheetViews>
  <sheetFormatPr defaultRowHeight="14.4" x14ac:dyDescent="0.3"/>
  <cols>
    <col min="1" max="1" width="17.77734375" customWidth="1"/>
    <col min="6" max="6" width="11.88671875" customWidth="1"/>
    <col min="7" max="7" width="12.33203125" customWidth="1"/>
    <col min="8" max="8" width="12.5546875" customWidth="1"/>
    <col min="9" max="9" width="11.77734375" customWidth="1"/>
    <col min="10" max="10" width="13.88671875" customWidth="1"/>
    <col min="11" max="11" width="10" customWidth="1"/>
    <col min="12" max="12" width="12.5546875" customWidth="1"/>
    <col min="13" max="13" width="15.33203125" customWidth="1"/>
    <col min="14" max="14" width="13.2187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0" t="s">
        <v>12</v>
      </c>
      <c r="K1" s="11" t="s">
        <v>13</v>
      </c>
      <c r="L1" s="11" t="s">
        <v>14</v>
      </c>
      <c r="M1" s="11" t="s">
        <v>15</v>
      </c>
      <c r="N1" s="12" t="s">
        <v>16</v>
      </c>
    </row>
    <row r="2" spans="1:14" x14ac:dyDescent="0.3">
      <c r="A2" s="3"/>
      <c r="B2" s="4"/>
      <c r="C2" s="4"/>
      <c r="D2" s="4"/>
      <c r="E2" s="4"/>
      <c r="F2" s="4"/>
      <c r="G2" s="4"/>
      <c r="H2" s="4"/>
      <c r="I2" s="4"/>
      <c r="J2" s="4">
        <v>0</v>
      </c>
      <c r="K2" s="4">
        <v>0</v>
      </c>
      <c r="L2" s="4">
        <v>0</v>
      </c>
      <c r="M2" s="4">
        <v>0</v>
      </c>
      <c r="N2" s="5">
        <v>0</v>
      </c>
    </row>
    <row r="3" spans="1:14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x14ac:dyDescent="0.3">
      <c r="A4" s="6">
        <v>46138.873067129629</v>
      </c>
      <c r="B4" s="4" t="s">
        <v>9</v>
      </c>
      <c r="C4" s="4" t="s">
        <v>10</v>
      </c>
      <c r="D4" s="4">
        <v>454.1</v>
      </c>
      <c r="E4" s="4">
        <v>1.9E-2</v>
      </c>
      <c r="F4" s="4">
        <v>8.6279000000000003</v>
      </c>
      <c r="G4" s="4">
        <v>9.6600000000000007E-6</v>
      </c>
      <c r="H4" s="4">
        <v>454.1</v>
      </c>
      <c r="I4" s="4">
        <v>1.9E-2</v>
      </c>
      <c r="J4" s="4">
        <f>IF(C4="BUY",J2+F4,J2-L2*E4)</f>
        <v>8.6279000000000003</v>
      </c>
      <c r="K4" s="4">
        <f>IF(C4="BUY",K2+E4,K2-E4)</f>
        <v>1.9E-2</v>
      </c>
      <c r="L4" s="4">
        <f>IF(K4&gt;0,J4/K4,0)</f>
        <v>454.1</v>
      </c>
      <c r="M4" s="4">
        <f>IF(C4="SELL",F4-L2*E4,0)</f>
        <v>0</v>
      </c>
      <c r="N4" s="5">
        <f>N2+IF(C4="SELL",M4,0)</f>
        <v>0</v>
      </c>
    </row>
    <row r="5" spans="1:14" ht="15" thickBot="1" x14ac:dyDescent="0.35">
      <c r="A5" s="7">
        <v>46146.948067129626</v>
      </c>
      <c r="B5" s="8" t="s">
        <v>9</v>
      </c>
      <c r="C5" s="8" t="s">
        <v>11</v>
      </c>
      <c r="D5" s="8">
        <v>443.9</v>
      </c>
      <c r="E5" s="8">
        <v>1.4999999999999999E-2</v>
      </c>
      <c r="F5" s="8">
        <v>6.6585000000000001</v>
      </c>
      <c r="G5" s="8">
        <v>7.5900000000000002E-6</v>
      </c>
      <c r="H5" s="8">
        <v>454.1</v>
      </c>
      <c r="I5" s="8">
        <v>4.0000000000000001E-3</v>
      </c>
      <c r="J5" s="8">
        <f>IF(C5="BUY",J4+F5,J4-L4*E5)</f>
        <v>1.8164000000000007</v>
      </c>
      <c r="K5" s="8">
        <f>IF(C5="BUY",K4+E5,K4-E5)</f>
        <v>4.0000000000000001E-3</v>
      </c>
      <c r="L5" s="8">
        <f>IF(K5&gt;0,J5/K5,0)</f>
        <v>454.10000000000014</v>
      </c>
      <c r="M5" s="8">
        <f>IF(C5="SELL",F5-L4*E5,0)</f>
        <v>-0.15299999999999958</v>
      </c>
      <c r="N5" s="9">
        <f>N4+IF(C5="SELL",M5,0)</f>
        <v>-0.15299999999999958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2026-05-10T09:52:29Z</dcterms:created>
  <dcterms:modified xsi:type="dcterms:W3CDTF">2026-05-11T07:53:26Z</dcterms:modified>
</cp:coreProperties>
</file>